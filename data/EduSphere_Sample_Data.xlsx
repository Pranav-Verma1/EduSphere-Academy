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Yt data set\coaching insitute finkaro\"/>
    </mc:Choice>
  </mc:AlternateContent>
  <xr:revisionPtr revIDLastSave="0" documentId="13_ncr:1_{16EB2D8E-D53E-48F7-9108-4E773CC70DA5}" xr6:coauthVersionLast="47" xr6:coauthVersionMax="47" xr10:uidLastSave="{00000000-0000-0000-0000-000000000000}"/>
  <bookViews>
    <workbookView xWindow="-108" yWindow="-108" windowWidth="23256" windowHeight="12576" tabRatio="1000" activeTab="1" xr2:uid="{00000000-000D-0000-FFFF-FFFF00000000}"/>
  </bookViews>
  <sheets>
    <sheet name="Output" sheetId="18" r:id="rId1"/>
    <sheet name="Sheet1" sheetId="35" r:id="rId2"/>
    <sheet name="Hierarchy_Dim" sheetId="33" r:id="rId3"/>
    <sheet name="Student_level_Hierarchy" sheetId="34" r:id="rId4"/>
    <sheet name="Date_Dim" sheetId="20" r:id="rId5"/>
    <sheet name="Student_Dim" sheetId="31" r:id="rId6"/>
    <sheet name="Gender_Dim" sheetId="21" r:id="rId7"/>
    <sheet name="Course_Duration_Dim" sheetId="22" r:id="rId8"/>
    <sheet name="Trainer_Dim" sheetId="24" r:id="rId9"/>
    <sheet name="Status_Dim" sheetId="25" r:id="rId10"/>
    <sheet name="Teaching_Description_Dim" sheetId="27" r:id="rId11"/>
    <sheet name="Team_Lead_Dim" sheetId="30" r:id="rId12"/>
    <sheet name="Key_Features_Training_Dim" sheetId="28" r:id="rId13"/>
  </sheets>
  <definedNames>
    <definedName name="_xlnm._FilterDatabase" localSheetId="4" hidden="1">Date_Dim!$A$1:$E$311</definedName>
    <definedName name="_xlnm._FilterDatabase" localSheetId="2" hidden="1">Hierarchy_Dim!$B$1:$I$53</definedName>
    <definedName name="_xlnm._FilterDatabase" localSheetId="0" hidden="1">Output!$A$1:$AC$350</definedName>
    <definedName name="_xlnm._FilterDatabase" localSheetId="3" hidden="1">Student_level_Hierarchy!$A$1:$F$351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" i="18" l="1"/>
  <c r="AC4" i="18"/>
  <c r="AC5" i="18"/>
  <c r="AC6" i="18"/>
  <c r="AC7" i="18"/>
  <c r="AC8" i="18"/>
  <c r="AC9" i="18"/>
  <c r="AC10" i="18"/>
  <c r="AC11" i="18"/>
  <c r="AC12" i="18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C38" i="18"/>
  <c r="AC39" i="18"/>
  <c r="AC40" i="18"/>
  <c r="AC41" i="18"/>
  <c r="AC42" i="18"/>
  <c r="AC43" i="18"/>
  <c r="AC44" i="18"/>
  <c r="AC45" i="18"/>
  <c r="AC46" i="18"/>
  <c r="AC47" i="18"/>
  <c r="AC48" i="18"/>
  <c r="AC49" i="18"/>
  <c r="AC50" i="18"/>
  <c r="AC51" i="18"/>
  <c r="AC52" i="18"/>
  <c r="AC53" i="18"/>
  <c r="AC54" i="18"/>
  <c r="AC55" i="18"/>
  <c r="AC56" i="18"/>
  <c r="AC57" i="18"/>
  <c r="AC58" i="18"/>
  <c r="AC59" i="18"/>
  <c r="AC60" i="18"/>
  <c r="AC61" i="18"/>
  <c r="AC62" i="18"/>
  <c r="AC63" i="18"/>
  <c r="AC64" i="18"/>
  <c r="AC65" i="18"/>
  <c r="AC66" i="18"/>
  <c r="AC67" i="18"/>
  <c r="AC68" i="18"/>
  <c r="AC69" i="18"/>
  <c r="AC70" i="18"/>
  <c r="AC71" i="18"/>
  <c r="AC72" i="18"/>
  <c r="AC73" i="18"/>
  <c r="AC74" i="18"/>
  <c r="AC75" i="18"/>
  <c r="AC76" i="18"/>
  <c r="AC77" i="18"/>
  <c r="AC78" i="18"/>
  <c r="AC79" i="18"/>
  <c r="AC80" i="18"/>
  <c r="AC81" i="18"/>
  <c r="AC82" i="18"/>
  <c r="AC83" i="18"/>
  <c r="AC84" i="18"/>
  <c r="AC85" i="18"/>
  <c r="AC86" i="18"/>
  <c r="AC87" i="18"/>
  <c r="AC88" i="18"/>
  <c r="AC89" i="18"/>
  <c r="AC90" i="18"/>
  <c r="AC91" i="18"/>
  <c r="AC92" i="18"/>
  <c r="AC93" i="18"/>
  <c r="AC94" i="18"/>
  <c r="AC95" i="18"/>
  <c r="AC96" i="18"/>
  <c r="AC97" i="18"/>
  <c r="AC98" i="18"/>
  <c r="AC99" i="18"/>
  <c r="AC100" i="18"/>
  <c r="AC101" i="18"/>
  <c r="AC102" i="18"/>
  <c r="AC103" i="18"/>
  <c r="AC104" i="18"/>
  <c r="AC105" i="18"/>
  <c r="AC106" i="18"/>
  <c r="AC107" i="18"/>
  <c r="AC108" i="18"/>
  <c r="AC109" i="18"/>
  <c r="AC110" i="18"/>
  <c r="AC111" i="18"/>
  <c r="AC112" i="18"/>
  <c r="AC113" i="18"/>
  <c r="AC114" i="18"/>
  <c r="AC115" i="18"/>
  <c r="AC116" i="18"/>
  <c r="AC117" i="18"/>
  <c r="AC118" i="18"/>
  <c r="AC119" i="18"/>
  <c r="AC120" i="18"/>
  <c r="AC121" i="18"/>
  <c r="AC122" i="18"/>
  <c r="AC123" i="18"/>
  <c r="AC124" i="18"/>
  <c r="AC125" i="18"/>
  <c r="AC126" i="18"/>
  <c r="AC127" i="18"/>
  <c r="AC128" i="18"/>
  <c r="AC129" i="18"/>
  <c r="AC130" i="18"/>
  <c r="AC131" i="18"/>
  <c r="AC132" i="18"/>
  <c r="AC133" i="18"/>
  <c r="AC134" i="18"/>
  <c r="AC135" i="18"/>
  <c r="AC136" i="18"/>
  <c r="AC137" i="18"/>
  <c r="AC138" i="18"/>
  <c r="AC139" i="18"/>
  <c r="AC140" i="18"/>
  <c r="AC141" i="18"/>
  <c r="AC142" i="18"/>
  <c r="AC143" i="18"/>
  <c r="AC144" i="18"/>
  <c r="AC145" i="18"/>
  <c r="AC146" i="18"/>
  <c r="AC147" i="18"/>
  <c r="AC148" i="18"/>
  <c r="AC149" i="18"/>
  <c r="AC150" i="18"/>
  <c r="AC151" i="18"/>
  <c r="AC152" i="18"/>
  <c r="AC153" i="18"/>
  <c r="AC154" i="18"/>
  <c r="AC155" i="18"/>
  <c r="AC156" i="18"/>
  <c r="AC157" i="18"/>
  <c r="AC158" i="18"/>
  <c r="AC159" i="18"/>
  <c r="AC160" i="18"/>
  <c r="AC161" i="18"/>
  <c r="AC162" i="18"/>
  <c r="AC163" i="18"/>
  <c r="AC164" i="18"/>
  <c r="AC165" i="18"/>
  <c r="AC166" i="18"/>
  <c r="AC167" i="18"/>
  <c r="AC168" i="18"/>
  <c r="AC169" i="18"/>
  <c r="AC170" i="18"/>
  <c r="AC171" i="18"/>
  <c r="AC172" i="18"/>
  <c r="AC173" i="18"/>
  <c r="AC174" i="18"/>
  <c r="AC175" i="18"/>
  <c r="AC176" i="18"/>
  <c r="AC177" i="18"/>
  <c r="AC178" i="18"/>
  <c r="AC179" i="18"/>
  <c r="AC180" i="18"/>
  <c r="AC181" i="18"/>
  <c r="AC182" i="18"/>
  <c r="AC183" i="18"/>
  <c r="AC184" i="18"/>
  <c r="AC185" i="18"/>
  <c r="AC186" i="18"/>
  <c r="AC187" i="18"/>
  <c r="AC188" i="18"/>
  <c r="AC189" i="18"/>
  <c r="AC190" i="18"/>
  <c r="AC191" i="18"/>
  <c r="AC192" i="18"/>
  <c r="AC193" i="18"/>
  <c r="AC194" i="18"/>
  <c r="AC195" i="18"/>
  <c r="AC196" i="18"/>
  <c r="AC197" i="18"/>
  <c r="AC198" i="18"/>
  <c r="AC199" i="18"/>
  <c r="AC200" i="18"/>
  <c r="AC201" i="18"/>
  <c r="AC202" i="18"/>
  <c r="AC203" i="18"/>
  <c r="AC204" i="18"/>
  <c r="AC205" i="18"/>
  <c r="AC206" i="18"/>
  <c r="AC207" i="18"/>
  <c r="AC208" i="18"/>
  <c r="AC209" i="18"/>
  <c r="AC210" i="18"/>
  <c r="AC211" i="18"/>
  <c r="AC212" i="18"/>
  <c r="AC213" i="18"/>
  <c r="AC214" i="18"/>
  <c r="AC215" i="18"/>
  <c r="AC216" i="18"/>
  <c r="AC217" i="18"/>
  <c r="AC218" i="18"/>
  <c r="AC219" i="18"/>
  <c r="AC220" i="18"/>
  <c r="AC221" i="18"/>
  <c r="AC222" i="18"/>
  <c r="AC223" i="18"/>
  <c r="AC224" i="18"/>
  <c r="AC225" i="18"/>
  <c r="AC226" i="18"/>
  <c r="AC227" i="18"/>
  <c r="AC228" i="18"/>
  <c r="AC229" i="18"/>
  <c r="AC230" i="18"/>
  <c r="AC231" i="18"/>
  <c r="AC232" i="18"/>
  <c r="AC233" i="18"/>
  <c r="AC234" i="18"/>
  <c r="AC235" i="18"/>
  <c r="AC236" i="18"/>
  <c r="AC237" i="18"/>
  <c r="AC238" i="18"/>
  <c r="AC239" i="18"/>
  <c r="AC240" i="18"/>
  <c r="AC241" i="18"/>
  <c r="AC242" i="18"/>
  <c r="AC243" i="18"/>
  <c r="AC244" i="18"/>
  <c r="AC245" i="18"/>
  <c r="AC246" i="18"/>
  <c r="AC247" i="18"/>
  <c r="AC248" i="18"/>
  <c r="AC249" i="18"/>
  <c r="AC250" i="18"/>
  <c r="AC251" i="18"/>
  <c r="AC252" i="18"/>
  <c r="AC253" i="18"/>
  <c r="AC254" i="18"/>
  <c r="AC255" i="18"/>
  <c r="AC256" i="18"/>
  <c r="AC257" i="18"/>
  <c r="AC258" i="18"/>
  <c r="AC259" i="18"/>
  <c r="AC260" i="18"/>
  <c r="AC261" i="18"/>
  <c r="AC262" i="18"/>
  <c r="AC263" i="18"/>
  <c r="AC264" i="18"/>
  <c r="AC265" i="18"/>
  <c r="AC266" i="18"/>
  <c r="AC267" i="18"/>
  <c r="AC268" i="18"/>
  <c r="AC269" i="18"/>
  <c r="AC270" i="18"/>
  <c r="AC271" i="18"/>
  <c r="AC272" i="18"/>
  <c r="AC273" i="18"/>
  <c r="AC274" i="18"/>
  <c r="AC275" i="18"/>
  <c r="AC276" i="18"/>
  <c r="AC277" i="18"/>
  <c r="AC278" i="18"/>
  <c r="AC279" i="18"/>
  <c r="AC280" i="18"/>
  <c r="AC281" i="18"/>
  <c r="AC282" i="18"/>
  <c r="AC283" i="18"/>
  <c r="AC284" i="18"/>
  <c r="AC285" i="18"/>
  <c r="AC286" i="18"/>
  <c r="AC287" i="18"/>
  <c r="AC288" i="18"/>
  <c r="AC289" i="18"/>
  <c r="AC290" i="18"/>
  <c r="AC291" i="18"/>
  <c r="AC292" i="18"/>
  <c r="AC293" i="18"/>
  <c r="AC294" i="18"/>
  <c r="AC295" i="18"/>
  <c r="AC296" i="18"/>
  <c r="AC297" i="18"/>
  <c r="AC298" i="18"/>
  <c r="AC299" i="18"/>
  <c r="AC300" i="18"/>
  <c r="AC301" i="18"/>
  <c r="AC302" i="18"/>
  <c r="AC303" i="18"/>
  <c r="AC304" i="18"/>
  <c r="AC305" i="18"/>
  <c r="AC306" i="18"/>
  <c r="AC307" i="18"/>
  <c r="AC308" i="18"/>
  <c r="AC309" i="18"/>
  <c r="AC310" i="18"/>
  <c r="AC311" i="18"/>
  <c r="AC312" i="18"/>
  <c r="AC313" i="18"/>
  <c r="AC314" i="18"/>
  <c r="AC315" i="18"/>
  <c r="AC316" i="18"/>
  <c r="AC317" i="18"/>
  <c r="AC318" i="18"/>
  <c r="AC319" i="18"/>
  <c r="AC320" i="18"/>
  <c r="AC321" i="18"/>
  <c r="AC322" i="18"/>
  <c r="AC323" i="18"/>
  <c r="AC324" i="18"/>
  <c r="AC325" i="18"/>
  <c r="AC326" i="18"/>
  <c r="AC327" i="18"/>
  <c r="AC328" i="18"/>
  <c r="AC329" i="18"/>
  <c r="AC330" i="18"/>
  <c r="AC331" i="18"/>
  <c r="AC332" i="18"/>
  <c r="AC333" i="18"/>
  <c r="AC334" i="18"/>
  <c r="AC335" i="18"/>
  <c r="AC336" i="18"/>
  <c r="AC337" i="18"/>
  <c r="AC338" i="18"/>
  <c r="AC339" i="18"/>
  <c r="AC340" i="18"/>
  <c r="AC341" i="18"/>
  <c r="AC342" i="18"/>
  <c r="AC343" i="18"/>
  <c r="AC344" i="18"/>
  <c r="AC345" i="18"/>
  <c r="AC346" i="18"/>
  <c r="AC347" i="18"/>
  <c r="AC348" i="18"/>
  <c r="AC349" i="18"/>
  <c r="AC350" i="18"/>
  <c r="AC2" i="18"/>
  <c r="A3" i="34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2" i="34"/>
  <c r="AA3" i="18"/>
  <c r="AA4" i="18"/>
  <c r="AA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40" i="18"/>
  <c r="AA41" i="18"/>
  <c r="AA42" i="18"/>
  <c r="AA43" i="18"/>
  <c r="AA44" i="18"/>
  <c r="AA45" i="18"/>
  <c r="AA46" i="18"/>
  <c r="AA47" i="18"/>
  <c r="AA48" i="18"/>
  <c r="AA49" i="18"/>
  <c r="AA50" i="18"/>
  <c r="AA51" i="18"/>
  <c r="AA52" i="18"/>
  <c r="AA53" i="18"/>
  <c r="AA54" i="18"/>
  <c r="AA55" i="18"/>
  <c r="AA56" i="18"/>
  <c r="AA57" i="18"/>
  <c r="AA58" i="18"/>
  <c r="AA59" i="18"/>
  <c r="AA60" i="18"/>
  <c r="AA61" i="18"/>
  <c r="AA62" i="18"/>
  <c r="AA63" i="18"/>
  <c r="AA64" i="18"/>
  <c r="AA65" i="18"/>
  <c r="AA66" i="18"/>
  <c r="AA67" i="18"/>
  <c r="AA68" i="18"/>
  <c r="AA69" i="18"/>
  <c r="AA70" i="18"/>
  <c r="AA71" i="18"/>
  <c r="AA72" i="18"/>
  <c r="AA73" i="18"/>
  <c r="AA74" i="18"/>
  <c r="AA75" i="18"/>
  <c r="AA76" i="18"/>
  <c r="AA77" i="18"/>
  <c r="AA78" i="18"/>
  <c r="AA79" i="18"/>
  <c r="AA80" i="18"/>
  <c r="AA81" i="18"/>
  <c r="AA82" i="18"/>
  <c r="AA83" i="18"/>
  <c r="AA84" i="18"/>
  <c r="AA85" i="18"/>
  <c r="AA86" i="18"/>
  <c r="AA87" i="18"/>
  <c r="AA88" i="18"/>
  <c r="AA89" i="18"/>
  <c r="AA90" i="18"/>
  <c r="AA91" i="18"/>
  <c r="AA92" i="18"/>
  <c r="AA93" i="18"/>
  <c r="AA94" i="18"/>
  <c r="AA95" i="18"/>
  <c r="AA96" i="18"/>
  <c r="AA97" i="18"/>
  <c r="AA98" i="18"/>
  <c r="AA99" i="18"/>
  <c r="AA100" i="18"/>
  <c r="AA101" i="18"/>
  <c r="AA102" i="18"/>
  <c r="AA103" i="18"/>
  <c r="AA104" i="18"/>
  <c r="AA105" i="18"/>
  <c r="AA106" i="18"/>
  <c r="AA107" i="18"/>
  <c r="AA108" i="18"/>
  <c r="AA109" i="18"/>
  <c r="AA110" i="18"/>
  <c r="AA111" i="18"/>
  <c r="AA112" i="18"/>
  <c r="AA113" i="18"/>
  <c r="AA114" i="18"/>
  <c r="AA115" i="18"/>
  <c r="AA116" i="18"/>
  <c r="AA117" i="18"/>
  <c r="AA118" i="18"/>
  <c r="AA119" i="18"/>
  <c r="AA120" i="18"/>
  <c r="AA121" i="18"/>
  <c r="AA122" i="18"/>
  <c r="AA123" i="18"/>
  <c r="AA124" i="18"/>
  <c r="AA125" i="18"/>
  <c r="AA126" i="18"/>
  <c r="AA127" i="18"/>
  <c r="AA128" i="18"/>
  <c r="AA129" i="18"/>
  <c r="AA130" i="18"/>
  <c r="AA131" i="18"/>
  <c r="AA132" i="18"/>
  <c r="AA133" i="18"/>
  <c r="AA134" i="18"/>
  <c r="AA135" i="18"/>
  <c r="AA136" i="18"/>
  <c r="AA137" i="18"/>
  <c r="AA138" i="18"/>
  <c r="AA139" i="18"/>
  <c r="AA140" i="18"/>
  <c r="AA141" i="18"/>
  <c r="AA142" i="18"/>
  <c r="AA143" i="18"/>
  <c r="AA144" i="18"/>
  <c r="AA145" i="18"/>
  <c r="AA146" i="18"/>
  <c r="AA147" i="18"/>
  <c r="AA148" i="18"/>
  <c r="AA149" i="18"/>
  <c r="AA150" i="18"/>
  <c r="AA151" i="18"/>
  <c r="AA152" i="18"/>
  <c r="AA153" i="18"/>
  <c r="AA154" i="18"/>
  <c r="AA155" i="18"/>
  <c r="AA156" i="18"/>
  <c r="AA157" i="18"/>
  <c r="AA158" i="18"/>
  <c r="AA159" i="18"/>
  <c r="AA160" i="18"/>
  <c r="AA161" i="18"/>
  <c r="AA162" i="18"/>
  <c r="AA163" i="18"/>
  <c r="AA164" i="18"/>
  <c r="AA165" i="18"/>
  <c r="AA166" i="18"/>
  <c r="AA167" i="18"/>
  <c r="AA168" i="18"/>
  <c r="AA169" i="18"/>
  <c r="AA170" i="18"/>
  <c r="AA171" i="18"/>
  <c r="AA172" i="18"/>
  <c r="AA173" i="18"/>
  <c r="AA174" i="18"/>
  <c r="AA175" i="18"/>
  <c r="AA176" i="18"/>
  <c r="AA177" i="18"/>
  <c r="AA178" i="18"/>
  <c r="AA179" i="18"/>
  <c r="AA180" i="18"/>
  <c r="AA181" i="18"/>
  <c r="AA182" i="18"/>
  <c r="AA183" i="18"/>
  <c r="AA184" i="18"/>
  <c r="AA185" i="18"/>
  <c r="AA186" i="18"/>
  <c r="AA187" i="18"/>
  <c r="AA188" i="18"/>
  <c r="AA189" i="18"/>
  <c r="AA190" i="18"/>
  <c r="AA191" i="18"/>
  <c r="AA192" i="18"/>
  <c r="AA193" i="18"/>
  <c r="AA194" i="18"/>
  <c r="AA195" i="18"/>
  <c r="AA196" i="18"/>
  <c r="AA197" i="18"/>
  <c r="AA198" i="18"/>
  <c r="AA199" i="18"/>
  <c r="AA200" i="18"/>
  <c r="AA201" i="18"/>
  <c r="AA202" i="18"/>
  <c r="AA203" i="18"/>
  <c r="AA204" i="18"/>
  <c r="AA205" i="18"/>
  <c r="AA206" i="18"/>
  <c r="AA207" i="18"/>
  <c r="AA208" i="18"/>
  <c r="AA209" i="18"/>
  <c r="AA210" i="18"/>
  <c r="AA211" i="18"/>
  <c r="AA212" i="18"/>
  <c r="AA213" i="18"/>
  <c r="AA214" i="18"/>
  <c r="AA215" i="18"/>
  <c r="AA216" i="18"/>
  <c r="AA217" i="18"/>
  <c r="AA218" i="18"/>
  <c r="AA219" i="18"/>
  <c r="AA220" i="18"/>
  <c r="AA221" i="18"/>
  <c r="AA222" i="18"/>
  <c r="AA223" i="18"/>
  <c r="AA224" i="18"/>
  <c r="AA225" i="18"/>
  <c r="AA226" i="18"/>
  <c r="AA227" i="18"/>
  <c r="AA228" i="18"/>
  <c r="AA229" i="18"/>
  <c r="AA230" i="18"/>
  <c r="AA231" i="18"/>
  <c r="AA232" i="18"/>
  <c r="AA233" i="18"/>
  <c r="AA234" i="18"/>
  <c r="AA235" i="18"/>
  <c r="AA236" i="18"/>
  <c r="AA237" i="18"/>
  <c r="AA238" i="18"/>
  <c r="AA239" i="18"/>
  <c r="AA240" i="18"/>
  <c r="AA241" i="18"/>
  <c r="AA242" i="18"/>
  <c r="AA243" i="18"/>
  <c r="AA244" i="18"/>
  <c r="AA245" i="18"/>
  <c r="AA246" i="18"/>
  <c r="AA247" i="18"/>
  <c r="AA248" i="18"/>
  <c r="AA249" i="18"/>
  <c r="AA250" i="18"/>
  <c r="AA251" i="18"/>
  <c r="AA252" i="18"/>
  <c r="AA253" i="18"/>
  <c r="AA254" i="18"/>
  <c r="AA255" i="18"/>
  <c r="AA256" i="18"/>
  <c r="AA257" i="18"/>
  <c r="AA258" i="18"/>
  <c r="AA259" i="18"/>
  <c r="AA260" i="18"/>
  <c r="AA261" i="18"/>
  <c r="AA262" i="18"/>
  <c r="AA263" i="18"/>
  <c r="AA264" i="18"/>
  <c r="AA265" i="18"/>
  <c r="AA266" i="18"/>
  <c r="AA267" i="18"/>
  <c r="AA268" i="18"/>
  <c r="AA269" i="18"/>
  <c r="AA270" i="18"/>
  <c r="AA271" i="18"/>
  <c r="AA272" i="18"/>
  <c r="AA273" i="18"/>
  <c r="AA274" i="18"/>
  <c r="AA275" i="18"/>
  <c r="AA276" i="18"/>
  <c r="AA277" i="18"/>
  <c r="AA278" i="18"/>
  <c r="AA279" i="18"/>
  <c r="AA280" i="18"/>
  <c r="AA281" i="18"/>
  <c r="AA282" i="18"/>
  <c r="AA283" i="18"/>
  <c r="AA284" i="18"/>
  <c r="AA285" i="18"/>
  <c r="AA286" i="18"/>
  <c r="AA287" i="18"/>
  <c r="AA288" i="18"/>
  <c r="AA289" i="18"/>
  <c r="AA290" i="18"/>
  <c r="AA291" i="18"/>
  <c r="AA292" i="18"/>
  <c r="AA293" i="18"/>
  <c r="AA294" i="18"/>
  <c r="AA295" i="18"/>
  <c r="AA296" i="18"/>
  <c r="AA297" i="18"/>
  <c r="AA298" i="18"/>
  <c r="AA299" i="18"/>
  <c r="AA300" i="18"/>
  <c r="AA301" i="18"/>
  <c r="AA302" i="18"/>
  <c r="AA303" i="18"/>
  <c r="AA304" i="18"/>
  <c r="AA305" i="18"/>
  <c r="AA306" i="18"/>
  <c r="AA307" i="18"/>
  <c r="AA308" i="18"/>
  <c r="AA309" i="18"/>
  <c r="AA310" i="18"/>
  <c r="AA311" i="18"/>
  <c r="AA312" i="18"/>
  <c r="AA313" i="18"/>
  <c r="AA314" i="18"/>
  <c r="AA315" i="18"/>
  <c r="AA316" i="18"/>
  <c r="AA317" i="18"/>
  <c r="AA318" i="18"/>
  <c r="AA319" i="18"/>
  <c r="AA320" i="18"/>
  <c r="AA321" i="18"/>
  <c r="AA322" i="18"/>
  <c r="AA323" i="18"/>
  <c r="AA324" i="18"/>
  <c r="AA325" i="18"/>
  <c r="AA326" i="18"/>
  <c r="AA327" i="18"/>
  <c r="AA328" i="18"/>
  <c r="AA329" i="18"/>
  <c r="AA330" i="18"/>
  <c r="AA331" i="18"/>
  <c r="AA332" i="18"/>
  <c r="AA333" i="18"/>
  <c r="AA334" i="18"/>
  <c r="AA335" i="18"/>
  <c r="AA336" i="18"/>
  <c r="AA337" i="18"/>
  <c r="AA338" i="18"/>
  <c r="AA339" i="18"/>
  <c r="AA340" i="18"/>
  <c r="AA341" i="18"/>
  <c r="AA342" i="18"/>
  <c r="AA343" i="18"/>
  <c r="AA344" i="18"/>
  <c r="AA345" i="18"/>
  <c r="AA346" i="18"/>
  <c r="AA347" i="18"/>
  <c r="AA348" i="18"/>
  <c r="AA349" i="18"/>
  <c r="AA350" i="18"/>
  <c r="AA2" i="18"/>
  <c r="AB3" i="18"/>
  <c r="AB4" i="18"/>
  <c r="AB5" i="18"/>
  <c r="AB6" i="18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47" i="18"/>
  <c r="AB48" i="18"/>
  <c r="AB49" i="18"/>
  <c r="AB50" i="18"/>
  <c r="AB51" i="18"/>
  <c r="AB52" i="18"/>
  <c r="AB53" i="18"/>
  <c r="AB54" i="18"/>
  <c r="AB55" i="18"/>
  <c r="AB56" i="18"/>
  <c r="AB57" i="18"/>
  <c r="AB58" i="18"/>
  <c r="AB59" i="18"/>
  <c r="AB60" i="18"/>
  <c r="AB61" i="18"/>
  <c r="AB62" i="18"/>
  <c r="AB63" i="18"/>
  <c r="AB64" i="18"/>
  <c r="AB65" i="18"/>
  <c r="AB66" i="18"/>
  <c r="AB67" i="18"/>
  <c r="AB68" i="18"/>
  <c r="AB69" i="18"/>
  <c r="AB70" i="18"/>
  <c r="AB71" i="18"/>
  <c r="AB72" i="18"/>
  <c r="AB73" i="18"/>
  <c r="AB74" i="18"/>
  <c r="AB75" i="18"/>
  <c r="AB76" i="18"/>
  <c r="AB77" i="18"/>
  <c r="AB78" i="18"/>
  <c r="AB79" i="18"/>
  <c r="AB80" i="18"/>
  <c r="AB81" i="18"/>
  <c r="AB82" i="18"/>
  <c r="AB83" i="18"/>
  <c r="AB84" i="18"/>
  <c r="AB85" i="18"/>
  <c r="AB86" i="18"/>
  <c r="AB87" i="18"/>
  <c r="AB88" i="18"/>
  <c r="AB89" i="18"/>
  <c r="AB90" i="18"/>
  <c r="AB91" i="18"/>
  <c r="AB92" i="18"/>
  <c r="AB93" i="18"/>
  <c r="AB94" i="18"/>
  <c r="AB95" i="18"/>
  <c r="AB96" i="18"/>
  <c r="AB97" i="18"/>
  <c r="AB98" i="18"/>
  <c r="AB99" i="18"/>
  <c r="AB100" i="18"/>
  <c r="AB101" i="18"/>
  <c r="AB102" i="18"/>
  <c r="AB103" i="18"/>
  <c r="AB104" i="18"/>
  <c r="AB105" i="18"/>
  <c r="AB106" i="18"/>
  <c r="AB107" i="18"/>
  <c r="AB108" i="18"/>
  <c r="AB109" i="18"/>
  <c r="AB110" i="18"/>
  <c r="AB111" i="18"/>
  <c r="AB112" i="18"/>
  <c r="AB113" i="18"/>
  <c r="AB114" i="18"/>
  <c r="AB115" i="18"/>
  <c r="AB116" i="18"/>
  <c r="AB117" i="18"/>
  <c r="AB118" i="18"/>
  <c r="AB119" i="18"/>
  <c r="AB120" i="18"/>
  <c r="AB121" i="18"/>
  <c r="AB122" i="18"/>
  <c r="AB123" i="18"/>
  <c r="AB124" i="18"/>
  <c r="AB125" i="18"/>
  <c r="AB126" i="18"/>
  <c r="AB127" i="18"/>
  <c r="AB128" i="18"/>
  <c r="AB129" i="18"/>
  <c r="AB130" i="18"/>
  <c r="AB131" i="18"/>
  <c r="AB132" i="18"/>
  <c r="AB133" i="18"/>
  <c r="AB134" i="18"/>
  <c r="AB135" i="18"/>
  <c r="AB136" i="18"/>
  <c r="AB137" i="18"/>
  <c r="AB138" i="18"/>
  <c r="AB139" i="18"/>
  <c r="AB140" i="18"/>
  <c r="AB141" i="18"/>
  <c r="AB142" i="18"/>
  <c r="AB143" i="18"/>
  <c r="AB144" i="18"/>
  <c r="AB145" i="18"/>
  <c r="AB146" i="18"/>
  <c r="AB147" i="18"/>
  <c r="AB148" i="18"/>
  <c r="AB149" i="18"/>
  <c r="AB150" i="18"/>
  <c r="AB151" i="18"/>
  <c r="AB152" i="18"/>
  <c r="AB153" i="18"/>
  <c r="AB154" i="18"/>
  <c r="AB155" i="18"/>
  <c r="AB156" i="18"/>
  <c r="AB157" i="18"/>
  <c r="AB158" i="18"/>
  <c r="AB159" i="18"/>
  <c r="AB160" i="18"/>
  <c r="AB161" i="18"/>
  <c r="AB162" i="18"/>
  <c r="AB163" i="18"/>
  <c r="AB164" i="18"/>
  <c r="AB165" i="18"/>
  <c r="AB166" i="18"/>
  <c r="AB167" i="18"/>
  <c r="AB168" i="18"/>
  <c r="AB169" i="18"/>
  <c r="AB170" i="18"/>
  <c r="AB171" i="18"/>
  <c r="AB172" i="18"/>
  <c r="AB173" i="18"/>
  <c r="AB174" i="18"/>
  <c r="AB175" i="18"/>
  <c r="AB176" i="18"/>
  <c r="AB177" i="18"/>
  <c r="AB178" i="18"/>
  <c r="AB179" i="18"/>
  <c r="AB180" i="18"/>
  <c r="AB181" i="18"/>
  <c r="AB182" i="18"/>
  <c r="AB183" i="18"/>
  <c r="AB184" i="18"/>
  <c r="AB185" i="18"/>
  <c r="AB186" i="18"/>
  <c r="AB187" i="18"/>
  <c r="AB188" i="18"/>
  <c r="AB189" i="18"/>
  <c r="AB190" i="18"/>
  <c r="AB191" i="18"/>
  <c r="AB192" i="18"/>
  <c r="AB193" i="18"/>
  <c r="AB194" i="18"/>
  <c r="AB195" i="18"/>
  <c r="AB196" i="18"/>
  <c r="AB197" i="18"/>
  <c r="AB198" i="18"/>
  <c r="AB199" i="18"/>
  <c r="AB200" i="18"/>
  <c r="AB201" i="18"/>
  <c r="AB202" i="18"/>
  <c r="AB203" i="18"/>
  <c r="AB204" i="18"/>
  <c r="AB205" i="18"/>
  <c r="AB206" i="18"/>
  <c r="AB207" i="18"/>
  <c r="AB208" i="18"/>
  <c r="AB209" i="18"/>
  <c r="AB210" i="18"/>
  <c r="AB211" i="18"/>
  <c r="AB212" i="18"/>
  <c r="AB213" i="18"/>
  <c r="AB214" i="18"/>
  <c r="AB215" i="18"/>
  <c r="AB216" i="18"/>
  <c r="AB217" i="18"/>
  <c r="AB218" i="18"/>
  <c r="AB219" i="18"/>
  <c r="AB220" i="18"/>
  <c r="AB221" i="18"/>
  <c r="AB222" i="18"/>
  <c r="AB223" i="18"/>
  <c r="AB224" i="18"/>
  <c r="AB225" i="18"/>
  <c r="AB226" i="18"/>
  <c r="AB227" i="18"/>
  <c r="AB228" i="18"/>
  <c r="AB229" i="18"/>
  <c r="AB230" i="18"/>
  <c r="AB231" i="18"/>
  <c r="AB232" i="18"/>
  <c r="AB233" i="18"/>
  <c r="AB234" i="18"/>
  <c r="AB235" i="18"/>
  <c r="AB236" i="18"/>
  <c r="AB237" i="18"/>
  <c r="AB238" i="18"/>
  <c r="AB239" i="18"/>
  <c r="AB240" i="18"/>
  <c r="AB241" i="18"/>
  <c r="AB242" i="18"/>
  <c r="AB243" i="18"/>
  <c r="AB244" i="18"/>
  <c r="AB245" i="18"/>
  <c r="AB246" i="18"/>
  <c r="AB247" i="18"/>
  <c r="AB248" i="18"/>
  <c r="AB249" i="18"/>
  <c r="AB250" i="18"/>
  <c r="AB251" i="18"/>
  <c r="AB252" i="18"/>
  <c r="AB253" i="18"/>
  <c r="AB254" i="18"/>
  <c r="AB255" i="18"/>
  <c r="AB256" i="18"/>
  <c r="AB257" i="18"/>
  <c r="AB258" i="18"/>
  <c r="AB259" i="18"/>
  <c r="AB260" i="18"/>
  <c r="AB261" i="18"/>
  <c r="AB262" i="18"/>
  <c r="AB263" i="18"/>
  <c r="AB264" i="18"/>
  <c r="AB265" i="18"/>
  <c r="AB266" i="18"/>
  <c r="AB267" i="18"/>
  <c r="AB268" i="18"/>
  <c r="AB269" i="18"/>
  <c r="AB270" i="18"/>
  <c r="AB271" i="18"/>
  <c r="AB272" i="18"/>
  <c r="AB273" i="18"/>
  <c r="AB274" i="18"/>
  <c r="AB275" i="18"/>
  <c r="AB276" i="18"/>
  <c r="AB277" i="18"/>
  <c r="AB278" i="18"/>
  <c r="AB279" i="18"/>
  <c r="AB280" i="18"/>
  <c r="AB281" i="18"/>
  <c r="AB282" i="18"/>
  <c r="AB283" i="18"/>
  <c r="AB284" i="18"/>
  <c r="AB285" i="18"/>
  <c r="AB286" i="18"/>
  <c r="AB287" i="18"/>
  <c r="AB288" i="18"/>
  <c r="AB289" i="18"/>
  <c r="AB290" i="18"/>
  <c r="AB291" i="18"/>
  <c r="AB292" i="18"/>
  <c r="AB293" i="18"/>
  <c r="AB294" i="18"/>
  <c r="AB295" i="18"/>
  <c r="AB296" i="18"/>
  <c r="AB297" i="18"/>
  <c r="AB298" i="18"/>
  <c r="AB299" i="18"/>
  <c r="AB300" i="18"/>
  <c r="AB301" i="18"/>
  <c r="AB302" i="18"/>
  <c r="AB303" i="18"/>
  <c r="AB304" i="18"/>
  <c r="AB305" i="18"/>
  <c r="AB306" i="18"/>
  <c r="AB307" i="18"/>
  <c r="AB308" i="18"/>
  <c r="AB309" i="18"/>
  <c r="AB310" i="18"/>
  <c r="AB311" i="18"/>
  <c r="AB312" i="18"/>
  <c r="AB313" i="18"/>
  <c r="AB314" i="18"/>
  <c r="AB315" i="18"/>
  <c r="AB316" i="18"/>
  <c r="AB317" i="18"/>
  <c r="AB318" i="18"/>
  <c r="AB319" i="18"/>
  <c r="AB320" i="18"/>
  <c r="AB321" i="18"/>
  <c r="AB322" i="18"/>
  <c r="AB323" i="18"/>
  <c r="AB324" i="18"/>
  <c r="AB325" i="18"/>
  <c r="AB326" i="18"/>
  <c r="AB327" i="18"/>
  <c r="AB328" i="18"/>
  <c r="AB329" i="18"/>
  <c r="AB330" i="18"/>
  <c r="AB331" i="18"/>
  <c r="AB332" i="18"/>
  <c r="AB333" i="18"/>
  <c r="AB334" i="18"/>
  <c r="AB335" i="18"/>
  <c r="AB336" i="18"/>
  <c r="AB337" i="18"/>
  <c r="AB338" i="18"/>
  <c r="AB339" i="18"/>
  <c r="AB340" i="18"/>
  <c r="AB341" i="18"/>
  <c r="AB342" i="18"/>
  <c r="AB343" i="18"/>
  <c r="AB344" i="18"/>
  <c r="AB345" i="18"/>
  <c r="AB346" i="18"/>
  <c r="AB347" i="18"/>
  <c r="AB348" i="18"/>
  <c r="AB349" i="18"/>
  <c r="AB350" i="18"/>
  <c r="AB2" i="18"/>
  <c r="A3" i="33"/>
  <c r="A4" i="33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2" i="33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2" i="18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2" i="20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2" i="20"/>
  <c r="Y23" i="18" l="1"/>
  <c r="Z23" i="18" s="1"/>
  <c r="Y31" i="18"/>
  <c r="Z31" i="18" s="1"/>
  <c r="Y33" i="18"/>
  <c r="Z33" i="18" s="1"/>
  <c r="Y36" i="18"/>
  <c r="Z36" i="18" s="1"/>
  <c r="Y37" i="18"/>
  <c r="Z37" i="18" s="1"/>
  <c r="Y38" i="18"/>
  <c r="Z38" i="18" s="1"/>
  <c r="Y42" i="18"/>
  <c r="Z42" i="18" s="1"/>
  <c r="Y46" i="18"/>
  <c r="Z46" i="18" s="1"/>
  <c r="Y47" i="18"/>
  <c r="Z47" i="18" s="1"/>
  <c r="Y49" i="18"/>
  <c r="Z49" i="18" s="1"/>
  <c r="Y50" i="18"/>
  <c r="Z50" i="18" s="1"/>
  <c r="Y51" i="18"/>
  <c r="Z51" i="18" s="1"/>
  <c r="Y52" i="18"/>
  <c r="Z52" i="18" s="1"/>
  <c r="Y53" i="18"/>
  <c r="Z53" i="18" s="1"/>
  <c r="Y54" i="18"/>
  <c r="Z54" i="18" s="1"/>
  <c r="Y55" i="18"/>
  <c r="Z55" i="18" s="1"/>
  <c r="Y56" i="18"/>
  <c r="Z56" i="18" s="1"/>
  <c r="Y65" i="18"/>
  <c r="Z65" i="18" s="1"/>
  <c r="Y66" i="18"/>
  <c r="Z66" i="18" s="1"/>
  <c r="Y67" i="18"/>
  <c r="Z67" i="18" s="1"/>
  <c r="Y68" i="18"/>
  <c r="Z68" i="18" s="1"/>
  <c r="Y69" i="18"/>
  <c r="Z69" i="18" s="1"/>
  <c r="Y70" i="18"/>
  <c r="Z70" i="18" s="1"/>
  <c r="Y71" i="18"/>
  <c r="Z71" i="18" s="1"/>
  <c r="Y72" i="18"/>
  <c r="Z72" i="18" s="1"/>
  <c r="Y73" i="18"/>
  <c r="Z73" i="18" s="1"/>
  <c r="Y74" i="18"/>
  <c r="Z74" i="18" s="1"/>
  <c r="Y82" i="18"/>
  <c r="Z82" i="18" s="1"/>
  <c r="Y83" i="18"/>
  <c r="Z83" i="18" s="1"/>
  <c r="Y84" i="18"/>
  <c r="Z84" i="18" s="1"/>
  <c r="Y85" i="18"/>
  <c r="Z85" i="18" s="1"/>
  <c r="Y86" i="18"/>
  <c r="Z86" i="18" s="1"/>
  <c r="Y87" i="18"/>
  <c r="Z87" i="18" s="1"/>
  <c r="Y88" i="18"/>
  <c r="Z88" i="18" s="1"/>
  <c r="Y89" i="18"/>
  <c r="Z89" i="18" s="1"/>
  <c r="Y90" i="18"/>
  <c r="Z90" i="18" s="1"/>
  <c r="Y91" i="18"/>
  <c r="Z91" i="18" s="1"/>
  <c r="Y92" i="18"/>
  <c r="Z92" i="18" s="1"/>
  <c r="Y95" i="18"/>
  <c r="Z95" i="18" s="1"/>
  <c r="Y96" i="18"/>
  <c r="Z96" i="18" s="1"/>
  <c r="Y99" i="18"/>
  <c r="Z99" i="18" s="1"/>
  <c r="Y100" i="18"/>
  <c r="Z100" i="18" s="1"/>
  <c r="Y101" i="18"/>
  <c r="Z101" i="18" s="1"/>
  <c r="Y102" i="18"/>
  <c r="Z102" i="18" s="1"/>
  <c r="Y103" i="18"/>
  <c r="Z103" i="18" s="1"/>
  <c r="Y104" i="18"/>
  <c r="Z104" i="18" s="1"/>
  <c r="Y105" i="18"/>
  <c r="Z105" i="18" s="1"/>
  <c r="Y106" i="18"/>
  <c r="Z106" i="18" s="1"/>
  <c r="Y107" i="18"/>
  <c r="Z107" i="18" s="1"/>
  <c r="Y108" i="18"/>
  <c r="Z108" i="18" s="1"/>
  <c r="Y109" i="18"/>
  <c r="Z109" i="18" s="1"/>
  <c r="Y110" i="18"/>
  <c r="Z110" i="18" s="1"/>
  <c r="Y112" i="18"/>
  <c r="Z112" i="18" s="1"/>
  <c r="Y114" i="18"/>
  <c r="Z114" i="18" s="1"/>
  <c r="Y117" i="18"/>
  <c r="Z117" i="18" s="1"/>
  <c r="Y118" i="18"/>
  <c r="Z118" i="18" s="1"/>
  <c r="Y119" i="18"/>
  <c r="Z119" i="18" s="1"/>
  <c r="Y120" i="18"/>
  <c r="Z120" i="18" s="1"/>
  <c r="Y121" i="18"/>
  <c r="Z121" i="18" s="1"/>
  <c r="Y122" i="18"/>
  <c r="Z122" i="18" s="1"/>
  <c r="Y123" i="18"/>
  <c r="Z123" i="18" s="1"/>
  <c r="Y124" i="18"/>
  <c r="Z124" i="18" s="1"/>
  <c r="Y125" i="18"/>
  <c r="Z125" i="18" s="1"/>
  <c r="Y126" i="18"/>
  <c r="Z126" i="18" s="1"/>
  <c r="Y127" i="18"/>
  <c r="Z127" i="18" s="1"/>
  <c r="Y128" i="18"/>
  <c r="Z128" i="18" s="1"/>
  <c r="Y132" i="18"/>
  <c r="Z132" i="18" s="1"/>
  <c r="Y135" i="18"/>
  <c r="Z135" i="18" s="1"/>
  <c r="Y136" i="18"/>
  <c r="Z136" i="18" s="1"/>
  <c r="Y137" i="18"/>
  <c r="Z137" i="18" s="1"/>
  <c r="Y138" i="18"/>
  <c r="Z138" i="18" s="1"/>
  <c r="Y139" i="18"/>
  <c r="Z139" i="18" s="1"/>
  <c r="Y140" i="18"/>
  <c r="Z140" i="18" s="1"/>
  <c r="Y141" i="18"/>
  <c r="Z141" i="18" s="1"/>
  <c r="Y142" i="18"/>
  <c r="Z142" i="18" s="1"/>
  <c r="Y143" i="18"/>
  <c r="Z143" i="18" s="1"/>
  <c r="Y144" i="18"/>
  <c r="Z144" i="18" s="1"/>
  <c r="Y145" i="18"/>
  <c r="Z145" i="18" s="1"/>
  <c r="Y146" i="18"/>
  <c r="Z146" i="18" s="1"/>
  <c r="Y149" i="18"/>
  <c r="Z149" i="18" s="1"/>
  <c r="Y150" i="18"/>
  <c r="Z150" i="18" s="1"/>
  <c r="Y154" i="18"/>
  <c r="Z154" i="18" s="1"/>
  <c r="Y155" i="18"/>
  <c r="Z155" i="18" s="1"/>
  <c r="Y156" i="18"/>
  <c r="Z156" i="18" s="1"/>
  <c r="Y157" i="18"/>
  <c r="Z157" i="18" s="1"/>
  <c r="Y158" i="18"/>
  <c r="Z158" i="18" s="1"/>
  <c r="Y159" i="18"/>
  <c r="Z159" i="18" s="1"/>
  <c r="Y160" i="18"/>
  <c r="Z160" i="18" s="1"/>
  <c r="Y161" i="18"/>
  <c r="Z161" i="18" s="1"/>
  <c r="Y162" i="18"/>
  <c r="Z162" i="18" s="1"/>
  <c r="Y163" i="18"/>
  <c r="Z163" i="18" s="1"/>
  <c r="Y164" i="18"/>
  <c r="Z164" i="18" s="1"/>
  <c r="Y167" i="18"/>
  <c r="Z167" i="18" s="1"/>
  <c r="Y168" i="18"/>
  <c r="Z168" i="18" s="1"/>
  <c r="Y171" i="18"/>
  <c r="Z171" i="18" s="1"/>
  <c r="Y173" i="18"/>
  <c r="Z173" i="18" s="1"/>
  <c r="Y174" i="18"/>
  <c r="Z174" i="18" s="1"/>
  <c r="Y175" i="18"/>
  <c r="Z175" i="18" s="1"/>
  <c r="Y176" i="18"/>
  <c r="Z176" i="18" s="1"/>
  <c r="Y177" i="18"/>
  <c r="Z177" i="18" s="1"/>
  <c r="Y178" i="18"/>
  <c r="Z178" i="18" s="1"/>
  <c r="Y179" i="18"/>
  <c r="Z179" i="18" s="1"/>
  <c r="Y180" i="18"/>
  <c r="Z180" i="18" s="1"/>
  <c r="Y181" i="18"/>
  <c r="Z181" i="18" s="1"/>
  <c r="Y182" i="18"/>
  <c r="Z182" i="18" s="1"/>
  <c r="Y189" i="18"/>
  <c r="Z189" i="18" s="1"/>
  <c r="Y190" i="18"/>
  <c r="Z190" i="18" s="1"/>
  <c r="Y191" i="18"/>
  <c r="Z191" i="18" s="1"/>
  <c r="Y192" i="18"/>
  <c r="Z192" i="18" s="1"/>
  <c r="Y193" i="18"/>
  <c r="Z193" i="18" s="1"/>
  <c r="Y194" i="18"/>
  <c r="Z194" i="18" s="1"/>
  <c r="Y195" i="18"/>
  <c r="Z195" i="18" s="1"/>
  <c r="Y196" i="18"/>
  <c r="Z196" i="18" s="1"/>
  <c r="Y197" i="18"/>
  <c r="Z197" i="18" s="1"/>
  <c r="Y198" i="18"/>
  <c r="Z198" i="18" s="1"/>
  <c r="Y199" i="18"/>
  <c r="Z199" i="18" s="1"/>
  <c r="Y200" i="18"/>
  <c r="Z200" i="18" s="1"/>
  <c r="Y203" i="18"/>
  <c r="Z203" i="18" s="1"/>
  <c r="Y204" i="18"/>
  <c r="Z204" i="18" s="1"/>
  <c r="Y207" i="18"/>
  <c r="Z207" i="18" s="1"/>
  <c r="Y208" i="18"/>
  <c r="Z208" i="18" s="1"/>
  <c r="Y209" i="18"/>
  <c r="Z209" i="18" s="1"/>
  <c r="Y210" i="18"/>
  <c r="Z210" i="18" s="1"/>
  <c r="Y211" i="18"/>
  <c r="Z211" i="18" s="1"/>
  <c r="Y212" i="18"/>
  <c r="Z212" i="18" s="1"/>
  <c r="Y213" i="18"/>
  <c r="Z213" i="18" s="1"/>
  <c r="Y214" i="18"/>
  <c r="Z214" i="18" s="1"/>
  <c r="Y215" i="18"/>
  <c r="Z215" i="18" s="1"/>
  <c r="Y216" i="18"/>
  <c r="Z216" i="18" s="1"/>
  <c r="Y217" i="18"/>
  <c r="Z217" i="18" s="1"/>
  <c r="Y218" i="18"/>
  <c r="Z218" i="18" s="1"/>
  <c r="Y222" i="18"/>
  <c r="Z222" i="18" s="1"/>
  <c r="Y226" i="18"/>
  <c r="Z226" i="18" s="1"/>
  <c r="Y227" i="18"/>
  <c r="Z227" i="18" s="1"/>
  <c r="Y228" i="18"/>
  <c r="Z228" i="18" s="1"/>
  <c r="Y230" i="18"/>
  <c r="Z230" i="18" s="1"/>
  <c r="Y231" i="18"/>
  <c r="Z231" i="18" s="1"/>
  <c r="Y232" i="18"/>
  <c r="Z232" i="18" s="1"/>
  <c r="Y233" i="18"/>
  <c r="Z233" i="18" s="1"/>
  <c r="Y234" i="18"/>
  <c r="Z234" i="18" s="1"/>
  <c r="Y235" i="18"/>
  <c r="Z235" i="18" s="1"/>
  <c r="Y236" i="18"/>
  <c r="Z236" i="18" s="1"/>
  <c r="Y238" i="18"/>
  <c r="Z238" i="18" s="1"/>
  <c r="Y240" i="18"/>
  <c r="Z240" i="18" s="1"/>
  <c r="Y243" i="18"/>
  <c r="Z243" i="18" s="1"/>
  <c r="Y244" i="18"/>
  <c r="Z244" i="18" s="1"/>
  <c r="Y245" i="18"/>
  <c r="Z245" i="18" s="1"/>
  <c r="Y246" i="18"/>
  <c r="Z246" i="18" s="1"/>
  <c r="Y247" i="18"/>
  <c r="Z247" i="18" s="1"/>
  <c r="Y248" i="18"/>
  <c r="Z248" i="18" s="1"/>
  <c r="Y249" i="18"/>
  <c r="Z249" i="18" s="1"/>
  <c r="Y250" i="18"/>
  <c r="Z250" i="18" s="1"/>
  <c r="Y251" i="18"/>
  <c r="Z251" i="18" s="1"/>
  <c r="Y252" i="18"/>
  <c r="Z252" i="18" s="1"/>
  <c r="Y253" i="18"/>
  <c r="Z253" i="18" s="1"/>
  <c r="Y254" i="18"/>
  <c r="Z254" i="18" s="1"/>
  <c r="Y257" i="18"/>
  <c r="Z257" i="18" s="1"/>
  <c r="Y258" i="18"/>
  <c r="Z258" i="18" s="1"/>
  <c r="Y261" i="18"/>
  <c r="Z261" i="18" s="1"/>
  <c r="Y262" i="18"/>
  <c r="Z262" i="18" s="1"/>
  <c r="Y263" i="18"/>
  <c r="Z263" i="18" s="1"/>
  <c r="Y264" i="18"/>
  <c r="Z264" i="18" s="1"/>
  <c r="Y265" i="18"/>
  <c r="Z265" i="18" s="1"/>
  <c r="Y266" i="18"/>
  <c r="Z266" i="18" s="1"/>
  <c r="Y267" i="18"/>
  <c r="Z267" i="18" s="1"/>
  <c r="Y268" i="18"/>
  <c r="Z268" i="18" s="1"/>
  <c r="Y269" i="18"/>
  <c r="Z269" i="18" s="1"/>
  <c r="Y270" i="18"/>
  <c r="Z270" i="18" s="1"/>
  <c r="Y271" i="18"/>
  <c r="Z271" i="18" s="1"/>
  <c r="Y272" i="18"/>
  <c r="Z272" i="18" s="1"/>
  <c r="Y274" i="18"/>
  <c r="Z274" i="18" s="1"/>
  <c r="Y275" i="18"/>
  <c r="Z275" i="18" s="1"/>
  <c r="Y279" i="18"/>
  <c r="Z279" i="18" s="1"/>
  <c r="Y280" i="18"/>
  <c r="Z280" i="18" s="1"/>
  <c r="Y281" i="18"/>
  <c r="Z281" i="18" s="1"/>
  <c r="Y282" i="18"/>
  <c r="Z282" i="18" s="1"/>
  <c r="Y283" i="18"/>
  <c r="Z283" i="18" s="1"/>
  <c r="Y284" i="18"/>
  <c r="Z284" i="18" s="1"/>
  <c r="Y285" i="18"/>
  <c r="Z285" i="18" s="1"/>
  <c r="Y286" i="18"/>
  <c r="Z286" i="18" s="1"/>
  <c r="Y287" i="18"/>
  <c r="Z287" i="18" s="1"/>
  <c r="Y288" i="18"/>
  <c r="Z288" i="18" s="1"/>
  <c r="Y289" i="18"/>
  <c r="Z289" i="18" s="1"/>
  <c r="Y290" i="18"/>
  <c r="Z290" i="18" s="1"/>
  <c r="Y293" i="18"/>
  <c r="Z293" i="18" s="1"/>
  <c r="Y294" i="18"/>
  <c r="Z294" i="18" s="1"/>
  <c r="Y298" i="18"/>
  <c r="Z298" i="18" s="1"/>
  <c r="Y299" i="18"/>
  <c r="Z299" i="18" s="1"/>
  <c r="Y300" i="18"/>
  <c r="Z300" i="18" s="1"/>
  <c r="Y301" i="18"/>
  <c r="Z301" i="18" s="1"/>
  <c r="Y302" i="18"/>
  <c r="Z302" i="18" s="1"/>
  <c r="Y303" i="18"/>
  <c r="Z303" i="18" s="1"/>
  <c r="Y304" i="18"/>
  <c r="Z304" i="18" s="1"/>
  <c r="Y305" i="18"/>
  <c r="Z305" i="18" s="1"/>
  <c r="Y306" i="18"/>
  <c r="Z306" i="18" s="1"/>
  <c r="Y307" i="18"/>
  <c r="Z307" i="18" s="1"/>
  <c r="Y308" i="18"/>
  <c r="Z308" i="18" s="1"/>
  <c r="Y312" i="18"/>
  <c r="Z312" i="18" s="1"/>
  <c r="Y316" i="18"/>
  <c r="Z316" i="18" s="1"/>
  <c r="Y317" i="18"/>
  <c r="Z317" i="18" s="1"/>
  <c r="Y318" i="18"/>
  <c r="Z318" i="18" s="1"/>
  <c r="Y319" i="18"/>
  <c r="Z319" i="18" s="1"/>
  <c r="Y320" i="18"/>
  <c r="Z320" i="18" s="1"/>
  <c r="Y321" i="18"/>
  <c r="Z321" i="18" s="1"/>
  <c r="Y322" i="18"/>
  <c r="Z322" i="18" s="1"/>
  <c r="Y323" i="18"/>
  <c r="Z323" i="18" s="1"/>
  <c r="Y324" i="18"/>
  <c r="Z324" i="18" s="1"/>
  <c r="Y325" i="18"/>
  <c r="Z325" i="18" s="1"/>
  <c r="Y326" i="18"/>
  <c r="Z326" i="18" s="1"/>
  <c r="Y329" i="18"/>
  <c r="Z329" i="18" s="1"/>
  <c r="Y330" i="18"/>
  <c r="Z330" i="18" s="1"/>
  <c r="Y333" i="18"/>
  <c r="Z333" i="18" s="1"/>
  <c r="Y334" i="18"/>
  <c r="Z334" i="18" s="1"/>
  <c r="Y335" i="18"/>
  <c r="Z335" i="18" s="1"/>
  <c r="Y336" i="18"/>
  <c r="Z336" i="18" s="1"/>
  <c r="Y337" i="18"/>
  <c r="Z337" i="18" s="1"/>
  <c r="Y338" i="18"/>
  <c r="Z338" i="18" s="1"/>
  <c r="Y339" i="18"/>
  <c r="Z339" i="18" s="1"/>
  <c r="Y340" i="18"/>
  <c r="Z340" i="18" s="1"/>
  <c r="Y341" i="18"/>
  <c r="Z341" i="18" s="1"/>
  <c r="Y342" i="18"/>
  <c r="Z342" i="18" s="1"/>
  <c r="Y343" i="18"/>
  <c r="Z343" i="18" s="1"/>
  <c r="Y344" i="18"/>
  <c r="Z344" i="18" s="1"/>
  <c r="Y347" i="18"/>
  <c r="Z347" i="18" s="1"/>
  <c r="Y348" i="18"/>
  <c r="Z348" i="18" s="1"/>
  <c r="Y2" i="18"/>
  <c r="Z2" i="18" s="1"/>
  <c r="Y81" i="18"/>
  <c r="Z81" i="18" s="1"/>
  <c r="Y93" i="18"/>
  <c r="Z93" i="18" s="1"/>
  <c r="Y94" i="18"/>
  <c r="Z94" i="18" s="1"/>
  <c r="Y111" i="18"/>
  <c r="Z111" i="18" s="1"/>
  <c r="Y115" i="18"/>
  <c r="Z115" i="18" s="1"/>
  <c r="Y129" i="18"/>
  <c r="Z129" i="18" s="1"/>
  <c r="Y130" i="18"/>
  <c r="Z130" i="18" s="1"/>
  <c r="Y133" i="18"/>
  <c r="Z133" i="18" s="1"/>
  <c r="Y134" i="18"/>
  <c r="Z134" i="18" s="1"/>
  <c r="Y169" i="18"/>
  <c r="Z169" i="18" s="1"/>
  <c r="Y201" i="18"/>
  <c r="Z201" i="18" s="1"/>
  <c r="Y202" i="18"/>
  <c r="Z202" i="18" s="1"/>
  <c r="Y205" i="18"/>
  <c r="Z205" i="18" s="1"/>
  <c r="Y206" i="18"/>
  <c r="Z206" i="18" s="1"/>
  <c r="Y219" i="18"/>
  <c r="Z219" i="18" s="1"/>
  <c r="Y220" i="18"/>
  <c r="Z220" i="18" s="1"/>
  <c r="Y221" i="18"/>
  <c r="Z221" i="18" s="1"/>
  <c r="Y223" i="18"/>
  <c r="Z223" i="18" s="1"/>
  <c r="Y224" i="18"/>
  <c r="Z224" i="18" s="1"/>
  <c r="Y225" i="18"/>
  <c r="Z225" i="18" s="1"/>
  <c r="Y229" i="18"/>
  <c r="Z229" i="18" s="1"/>
  <c r="Y239" i="18"/>
  <c r="Z239" i="18" s="1"/>
  <c r="Y241" i="18"/>
  <c r="Z241" i="18" s="1"/>
  <c r="Y242" i="18"/>
  <c r="Z242" i="18" s="1"/>
  <c r="Y259" i="18"/>
  <c r="Z259" i="18" s="1"/>
  <c r="Y260" i="18"/>
  <c r="Z260" i="18" s="1"/>
  <c r="Y276" i="18"/>
  <c r="Z276" i="18" s="1"/>
  <c r="Y277" i="18"/>
  <c r="Z277" i="18" s="1"/>
  <c r="Y278" i="18"/>
  <c r="Z278" i="18" s="1"/>
  <c r="Y295" i="18"/>
  <c r="Z295" i="18" s="1"/>
  <c r="Y296" i="18"/>
  <c r="Z296" i="18" s="1"/>
  <c r="Y297" i="18"/>
  <c r="Z297" i="18" s="1"/>
  <c r="Y309" i="18"/>
  <c r="Z309" i="18" s="1"/>
  <c r="Y310" i="18"/>
  <c r="Z310" i="18" s="1"/>
  <c r="Y311" i="18"/>
  <c r="Z311" i="18" s="1"/>
  <c r="Y313" i="18"/>
  <c r="Z313" i="18" s="1"/>
  <c r="Y314" i="18"/>
  <c r="Z314" i="18" s="1"/>
  <c r="Y315" i="18"/>
  <c r="Z315" i="18" s="1"/>
  <c r="Y327" i="18"/>
  <c r="Z327" i="18" s="1"/>
  <c r="Y328" i="18"/>
  <c r="Z328" i="18" s="1"/>
  <c r="Y331" i="18"/>
  <c r="Z331" i="18" s="1"/>
  <c r="Y332" i="18"/>
  <c r="Z332" i="18" s="1"/>
  <c r="Y349" i="18"/>
  <c r="Z349" i="18" s="1"/>
  <c r="Y350" i="18"/>
  <c r="Z350" i="18" s="1"/>
  <c r="Y3" i="18"/>
  <c r="Z3" i="18" s="1"/>
  <c r="Y4" i="18"/>
  <c r="Z4" i="18" s="1"/>
  <c r="Y5" i="18"/>
  <c r="Z5" i="18" s="1"/>
  <c r="Y6" i="18"/>
  <c r="Z6" i="18" s="1"/>
  <c r="Y7" i="18"/>
  <c r="Z7" i="18" s="1"/>
  <c r="Y8" i="18"/>
  <c r="Z8" i="18" s="1"/>
  <c r="Y9" i="18"/>
  <c r="Z9" i="18" s="1"/>
  <c r="Y10" i="18"/>
  <c r="Z10" i="18" s="1"/>
  <c r="Y11" i="18"/>
  <c r="Z11" i="18" s="1"/>
  <c r="Y12" i="18"/>
  <c r="Z12" i="18" s="1"/>
  <c r="Y13" i="18"/>
  <c r="Z13" i="18" s="1"/>
  <c r="Y14" i="18"/>
  <c r="Z14" i="18" s="1"/>
  <c r="Y15" i="18"/>
  <c r="Z15" i="18" s="1"/>
  <c r="Y16" i="18"/>
  <c r="Z16" i="18" s="1"/>
  <c r="Y17" i="18"/>
  <c r="Z17" i="18" s="1"/>
  <c r="Y18" i="18"/>
  <c r="Z18" i="18" s="1"/>
  <c r="Y19" i="18"/>
  <c r="Z19" i="18" s="1"/>
  <c r="Y20" i="18"/>
  <c r="Z20" i="18" s="1"/>
  <c r="Y21" i="18"/>
  <c r="Z21" i="18" s="1"/>
  <c r="Y22" i="18"/>
  <c r="Z22" i="18" s="1"/>
  <c r="Y24" i="18"/>
  <c r="Z24" i="18" s="1"/>
  <c r="Y25" i="18"/>
  <c r="Z25" i="18" s="1"/>
  <c r="Y26" i="18"/>
  <c r="Z26" i="18" s="1"/>
  <c r="Y27" i="18"/>
  <c r="Z27" i="18" s="1"/>
  <c r="Y28" i="18"/>
  <c r="Z28" i="18" s="1"/>
  <c r="Y29" i="18"/>
  <c r="Z29" i="18" s="1"/>
  <c r="Y30" i="18"/>
  <c r="Z30" i="18" s="1"/>
  <c r="Y32" i="18"/>
  <c r="Z32" i="18" s="1"/>
  <c r="Y34" i="18"/>
  <c r="Z34" i="18" s="1"/>
  <c r="Y35" i="18"/>
  <c r="Z35" i="18" s="1"/>
  <c r="Y39" i="18"/>
  <c r="Z39" i="18" s="1"/>
  <c r="Y40" i="18"/>
  <c r="Z40" i="18" s="1"/>
  <c r="Y41" i="18"/>
  <c r="Z41" i="18" s="1"/>
  <c r="Y43" i="18"/>
  <c r="Z43" i="18" s="1"/>
  <c r="Y44" i="18"/>
  <c r="Z44" i="18" s="1"/>
  <c r="Y45" i="18"/>
  <c r="Z45" i="18" s="1"/>
  <c r="Y48" i="18"/>
  <c r="Z48" i="18" s="1"/>
  <c r="Y57" i="18"/>
  <c r="Z57" i="18" s="1"/>
  <c r="Y58" i="18"/>
  <c r="Z58" i="18" s="1"/>
  <c r="Y59" i="18"/>
  <c r="Z59" i="18" s="1"/>
  <c r="Y60" i="18"/>
  <c r="Z60" i="18" s="1"/>
  <c r="Y61" i="18"/>
  <c r="Z61" i="18" s="1"/>
  <c r="Y62" i="18"/>
  <c r="Z62" i="18" s="1"/>
  <c r="Y63" i="18"/>
  <c r="Z63" i="18" s="1"/>
  <c r="Y64" i="18"/>
  <c r="Z64" i="18" s="1"/>
  <c r="Y75" i="18"/>
  <c r="Z75" i="18" s="1"/>
  <c r="Y76" i="18"/>
  <c r="Z76" i="18" s="1"/>
  <c r="Y77" i="18"/>
  <c r="Z77" i="18" s="1"/>
  <c r="Y78" i="18"/>
  <c r="Z78" i="18" s="1"/>
  <c r="Y79" i="18"/>
  <c r="Z79" i="18" s="1"/>
  <c r="Y80" i="18"/>
  <c r="Z80" i="18" s="1"/>
  <c r="Y97" i="18"/>
  <c r="Z97" i="18" s="1"/>
  <c r="Y98" i="18"/>
  <c r="Z98" i="18" s="1"/>
  <c r="Y113" i="18"/>
  <c r="Z113" i="18" s="1"/>
  <c r="Y116" i="18"/>
  <c r="Z116" i="18" s="1"/>
  <c r="Y131" i="18"/>
  <c r="Z131" i="18" s="1"/>
  <c r="Y147" i="18"/>
  <c r="Z147" i="18" s="1"/>
  <c r="Y148" i="18"/>
  <c r="Z148" i="18" s="1"/>
  <c r="Y151" i="18"/>
  <c r="Z151" i="18" s="1"/>
  <c r="Y152" i="18"/>
  <c r="Z152" i="18" s="1"/>
  <c r="Y153" i="18"/>
  <c r="Z153" i="18" s="1"/>
  <c r="Y165" i="18"/>
  <c r="Z165" i="18" s="1"/>
  <c r="Y166" i="18"/>
  <c r="Z166" i="18" s="1"/>
  <c r="Y170" i="18"/>
  <c r="Z170" i="18" s="1"/>
  <c r="Y172" i="18"/>
  <c r="Z172" i="18" s="1"/>
  <c r="Y183" i="18"/>
  <c r="Z183" i="18" s="1"/>
  <c r="Y184" i="18"/>
  <c r="Z184" i="18" s="1"/>
  <c r="Y185" i="18"/>
  <c r="Z185" i="18" s="1"/>
  <c r="Y186" i="18"/>
  <c r="Z186" i="18" s="1"/>
  <c r="Y187" i="18"/>
  <c r="Z187" i="18" s="1"/>
  <c r="Y188" i="18"/>
  <c r="Z188" i="18" s="1"/>
  <c r="Y237" i="18"/>
  <c r="Z237" i="18" s="1"/>
  <c r="Y255" i="18"/>
  <c r="Z255" i="18" s="1"/>
  <c r="Y256" i="18"/>
  <c r="Z256" i="18" s="1"/>
  <c r="Y273" i="18"/>
  <c r="Z273" i="18" s="1"/>
  <c r="Y291" i="18"/>
  <c r="Z291" i="18" s="1"/>
  <c r="Y292" i="18"/>
  <c r="Z292" i="18" s="1"/>
  <c r="Y345" i="18"/>
  <c r="Z345" i="18" s="1"/>
  <c r="Y346" i="18"/>
  <c r="Z346" i="18" s="1"/>
</calcChain>
</file>

<file path=xl/sharedStrings.xml><?xml version="1.0" encoding="utf-8"?>
<sst xmlns="http://schemas.openxmlformats.org/spreadsheetml/2006/main" count="716" uniqueCount="449">
  <si>
    <t>Status</t>
  </si>
  <si>
    <t>Active</t>
  </si>
  <si>
    <t>Completed</t>
  </si>
  <si>
    <t>Student_Name</t>
  </si>
  <si>
    <t>Financial Planning and Management</t>
  </si>
  <si>
    <t>Personal Financial Planning</t>
  </si>
  <si>
    <t>Corporate Finance Essentials</t>
  </si>
  <si>
    <t>Budgeting and Forecasting</t>
  </si>
  <si>
    <t>Financial Risk Management</t>
  </si>
  <si>
    <t>Accounting Basics</t>
  </si>
  <si>
    <t>Financial Statement Analysis</t>
  </si>
  <si>
    <t>Digital Marketing and Transformation</t>
  </si>
  <si>
    <t>Introduction to Digital Marketing</t>
  </si>
  <si>
    <t>Social Media Marketing</t>
  </si>
  <si>
    <t>Search Engine Optimization (SEO)</t>
  </si>
  <si>
    <t>Pay-Per-Click (PPC) Advertising</t>
  </si>
  <si>
    <t>Digital Transformation Strategies</t>
  </si>
  <si>
    <t>Content Marketing</t>
  </si>
  <si>
    <t>Stock Market and Investment</t>
  </si>
  <si>
    <t>Stock Market Basics</t>
  </si>
  <si>
    <t>Investment Strategies</t>
  </si>
  <si>
    <t>Equity Research Analysis</t>
  </si>
  <si>
    <t>Technical Analysis of Stocks</t>
  </si>
  <si>
    <t>Fundamental Analysis</t>
  </si>
  <si>
    <t>Portfolio Management</t>
  </si>
  <si>
    <t>Data Analytics and Visualization</t>
  </si>
  <si>
    <t>Power BI Basics</t>
  </si>
  <si>
    <t>Advanced Excel for Analytics</t>
  </si>
  <si>
    <t>Data Visualization with Tableau</t>
  </si>
  <si>
    <t>Data Cleaning and Preprocessing</t>
  </si>
  <si>
    <t>Introduction to SQL for Data Analysis</t>
  </si>
  <si>
    <t>Google Analytics for Beginners</t>
  </si>
  <si>
    <t>Financial Technology (FinTech)</t>
  </si>
  <si>
    <t>Introduction to FinTech</t>
  </si>
  <si>
    <t>Blockchain Basics</t>
  </si>
  <si>
    <t>Cryptocurrencies and Bitcoin</t>
  </si>
  <si>
    <t>Payment Gateways and Digital Wallets</t>
  </si>
  <si>
    <t>AI in Finance</t>
  </si>
  <si>
    <t>Open Banking Essentials</t>
  </si>
  <si>
    <t>Business Analytics and Decision-Making</t>
  </si>
  <si>
    <t>Business Intelligence Basics</t>
  </si>
  <si>
    <t>Predictive Analytics with Python</t>
  </si>
  <si>
    <t>Machine Learning for Business</t>
  </si>
  <si>
    <t>Advanced Power BI Dashboards</t>
  </si>
  <si>
    <t>Business Metrics and KPIs</t>
  </si>
  <si>
    <t>Decision-Making with Data</t>
  </si>
  <si>
    <t>Trainer_Fee</t>
  </si>
  <si>
    <t>Teaching Mode</t>
  </si>
  <si>
    <t>Classroom-Based Learning</t>
  </si>
  <si>
    <t>Traditional in-person teaching in a physical classroom.</t>
  </si>
  <si>
    <t>Interactive sessions, group activities.</t>
  </si>
  <si>
    <t>Online Live Classes</t>
  </si>
  <si>
    <t>Real-time virtual teaching using platforms like Zoom or Google Meet.</t>
  </si>
  <si>
    <t>Remote interaction, live Q&amp;A, and discussions.</t>
  </si>
  <si>
    <t>Self-Paced Learning</t>
  </si>
  <si>
    <t>Pre-recorded courses accessible anytime, anywhere.</t>
  </si>
  <si>
    <t>Flexible schedules, learner-driven.</t>
  </si>
  <si>
    <t>Blended Learning</t>
  </si>
  <si>
    <t>Combines in-person and online teaching methods.</t>
  </si>
  <si>
    <t>Interactive and flexible hybrid model.</t>
  </si>
  <si>
    <t>Project-Based Learning</t>
  </si>
  <si>
    <t>Hands-on training focusing on practical projects or problem-solving tasks.</t>
  </si>
  <si>
    <t>Real-world application, practical learning.</t>
  </si>
  <si>
    <t>Rohan Sharma</t>
  </si>
  <si>
    <t>Website Inquiry</t>
  </si>
  <si>
    <t>Priya Mehta</t>
  </si>
  <si>
    <t>Arjun Patel</t>
  </si>
  <si>
    <t>Sneha Kapoor</t>
  </si>
  <si>
    <t>Ankit Verma</t>
  </si>
  <si>
    <t>Kavya Gupta</t>
  </si>
  <si>
    <t>Google Ads</t>
  </si>
  <si>
    <t>Aarav Bhatia</t>
  </si>
  <si>
    <t>Aarush Goswami</t>
  </si>
  <si>
    <t>Aarav Chaudhuri</t>
  </si>
  <si>
    <t>Aarush Sood</t>
  </si>
  <si>
    <t>Aarna Ahuja</t>
  </si>
  <si>
    <t>Aaina Krishnamurthy</t>
  </si>
  <si>
    <t>Aaryahi Mangal</t>
  </si>
  <si>
    <t>Aarna Hayre</t>
  </si>
  <si>
    <t>Aarav Bora</t>
  </si>
  <si>
    <t>Aarush Bajaj</t>
  </si>
  <si>
    <t>Aarna Savant</t>
  </si>
  <si>
    <t>Aaina Choudhury</t>
  </si>
  <si>
    <t>Aaryahi Srinivas</t>
  </si>
  <si>
    <t>Aarush Gade</t>
  </si>
  <si>
    <t>Aarna Konda</t>
  </si>
  <si>
    <t>Aarna Singh</t>
  </si>
  <si>
    <t>Aaina Swamy</t>
  </si>
  <si>
    <t>Aaina Sarna</t>
  </si>
  <si>
    <t>Aarna Yohannan</t>
  </si>
  <si>
    <t>Aarna Gaba</t>
  </si>
  <si>
    <t>Aarav Mangat</t>
  </si>
  <si>
    <t>Aaina Solanki</t>
  </si>
  <si>
    <t>Aarna Chacko</t>
  </si>
  <si>
    <t>Aaryahi Bhatia</t>
  </si>
  <si>
    <t>Aarna Shan</t>
  </si>
  <si>
    <t>Aarush Das</t>
  </si>
  <si>
    <t>Aarna Gandhi</t>
  </si>
  <si>
    <t>Aaryahi Gaba</t>
  </si>
  <si>
    <t>Aarush Sem</t>
  </si>
  <si>
    <t>Aarna Dara</t>
  </si>
  <si>
    <t>Aarna Tak</t>
  </si>
  <si>
    <t>Aarna Bansal</t>
  </si>
  <si>
    <t>Aarna Mammen</t>
  </si>
  <si>
    <t>Aarush Gole</t>
  </si>
  <si>
    <t>Aaina Brahmbhatt</t>
  </si>
  <si>
    <t>Aarna Apte</t>
  </si>
  <si>
    <t>Aarna Saha</t>
  </si>
  <si>
    <t>Aarav Sen</t>
  </si>
  <si>
    <t>Aarna Khosla</t>
  </si>
  <si>
    <t>Aaina Mammen</t>
  </si>
  <si>
    <t>Aarush Ganguly</t>
  </si>
  <si>
    <t>Aaina Ganesan</t>
  </si>
  <si>
    <t>Aarav Chakraborty</t>
  </si>
  <si>
    <t>Aaina Sehgal</t>
  </si>
  <si>
    <t>Aarna Bhakta</t>
  </si>
  <si>
    <t>Aaryahi Chaudry</t>
  </si>
  <si>
    <t>Aaina Din</t>
  </si>
  <si>
    <t>Aaryahi Andra</t>
  </si>
  <si>
    <t>Aarna Kala</t>
  </si>
  <si>
    <t>Aaina Gupta</t>
  </si>
  <si>
    <t>Aaina Banerjee</t>
  </si>
  <si>
    <t>Aarna Gala</t>
  </si>
  <si>
    <t>Aarav Chowdhury</t>
  </si>
  <si>
    <t>Aaryahi Mahajan</t>
  </si>
  <si>
    <t>Aarush Devi</t>
  </si>
  <si>
    <t>Aaryahi Dhingra</t>
  </si>
  <si>
    <t>Aaryahi Dey</t>
  </si>
  <si>
    <t>Aarush Choudhary</t>
  </si>
  <si>
    <t>Aarna Bava</t>
  </si>
  <si>
    <t>Aarna Trivedi</t>
  </si>
  <si>
    <t>Aarush Manda</t>
  </si>
  <si>
    <t>Aaina Krish</t>
  </si>
  <si>
    <t>Aarav Sethi</t>
  </si>
  <si>
    <t>Aarush Chandra</t>
  </si>
  <si>
    <t>Aarush Lad</t>
  </si>
  <si>
    <t>Aarav Singh</t>
  </si>
  <si>
    <t>Aarav Basu</t>
  </si>
  <si>
    <t>Aaryahi Doctor</t>
  </si>
  <si>
    <t>Aaina Sibal</t>
  </si>
  <si>
    <t>Aarav Srivastava</t>
  </si>
  <si>
    <t>Aarush Buch</t>
  </si>
  <si>
    <t>Aarna Amble</t>
  </si>
  <si>
    <t>Aarav Borde</t>
  </si>
  <si>
    <t>Aarush Upadhyay</t>
  </si>
  <si>
    <t>Aaina Thakkar</t>
  </si>
  <si>
    <t>Aaina Lad</t>
  </si>
  <si>
    <t>Aarna Sarin</t>
  </si>
  <si>
    <t>Aarna Sastry</t>
  </si>
  <si>
    <t>Aarna Lata</t>
  </si>
  <si>
    <t>Aaina Raman</t>
  </si>
  <si>
    <t>Aaina Ganguly</t>
  </si>
  <si>
    <t>Aaina Butala</t>
  </si>
  <si>
    <t>Aarush Bir</t>
  </si>
  <si>
    <t>Aaina Zachariah</t>
  </si>
  <si>
    <t>Aarav Bumb</t>
  </si>
  <si>
    <t>Aarav Rajan</t>
  </si>
  <si>
    <t>Aarush Sibal</t>
  </si>
  <si>
    <t>Aaryahi Basak</t>
  </si>
  <si>
    <t>Aaryahi Loke</t>
  </si>
  <si>
    <t>Aaryahi Kannan</t>
  </si>
  <si>
    <t>Aaina Dave</t>
  </si>
  <si>
    <t>Aarush Sha</t>
  </si>
  <si>
    <t>Aarav Goel</t>
  </si>
  <si>
    <t>Aarush Yadav</t>
  </si>
  <si>
    <t>Aaryahi Sodhi</t>
  </si>
  <si>
    <t>Aaryahi Seth</t>
  </si>
  <si>
    <t>Aarna Chakraborty</t>
  </si>
  <si>
    <t>Aarna Kulkarni</t>
  </si>
  <si>
    <t>Aarush Jhaveri</t>
  </si>
  <si>
    <t>Aaryahi Bassi</t>
  </si>
  <si>
    <t>Aaryahi Bansal</t>
  </si>
  <si>
    <t>Aarush Kalita</t>
  </si>
  <si>
    <t>Aarush Kar</t>
  </si>
  <si>
    <t>Aaina Khalsa</t>
  </si>
  <si>
    <t>Aaryahi Sane</t>
  </si>
  <si>
    <t>Aaryahi Ramanathan</t>
  </si>
  <si>
    <t>Aarush Borra</t>
  </si>
  <si>
    <t>Aarush Hans</t>
  </si>
  <si>
    <t>Aaryahi Lata</t>
  </si>
  <si>
    <t>Aarna Chahal</t>
  </si>
  <si>
    <t>Aarush Sule</t>
  </si>
  <si>
    <t>Aarush Biswas</t>
  </si>
  <si>
    <t>Aarna Kalita</t>
  </si>
  <si>
    <t>Aarna Atwal</t>
  </si>
  <si>
    <t>Aarna Jhaveri</t>
  </si>
  <si>
    <t>Aaryahi Salvi</t>
  </si>
  <si>
    <t>Aarav Bhavsar</t>
  </si>
  <si>
    <t>Aaryahi Anand</t>
  </si>
  <si>
    <t>Aaina Sami</t>
  </si>
  <si>
    <t>Aaryahi Sidhu</t>
  </si>
  <si>
    <t>Aarna Barman</t>
  </si>
  <si>
    <t>Aaina Gole</t>
  </si>
  <si>
    <t>Aarna Dave</t>
  </si>
  <si>
    <t>Aarush Thakkar</t>
  </si>
  <si>
    <t>Aaina Sood</t>
  </si>
  <si>
    <t>Aaryahi Ahluwalia</t>
  </si>
  <si>
    <t>Aaina Sagar</t>
  </si>
  <si>
    <t>Aaryahi Khare</t>
  </si>
  <si>
    <t>Aarav Dayal</t>
  </si>
  <si>
    <t>Aarush Rau</t>
  </si>
  <si>
    <t>Aarav Sathe</t>
  </si>
  <si>
    <t>Aaryahi Sarkar</t>
  </si>
  <si>
    <t>Aarush Bhatnagar</t>
  </si>
  <si>
    <t>Aarush Deshmukh</t>
  </si>
  <si>
    <t>Aarna Suresh</t>
  </si>
  <si>
    <t>Aaryahi Ranganathan</t>
  </si>
  <si>
    <t>Aarav Chandra</t>
  </si>
  <si>
    <t>Aarna Wali</t>
  </si>
  <si>
    <t>Aaryahi Chandran</t>
  </si>
  <si>
    <t>Aarush Dar</t>
  </si>
  <si>
    <t>Aaina Khosla</t>
  </si>
  <si>
    <t>Aaina Choudhry</t>
  </si>
  <si>
    <t>Aaryahi Char</t>
  </si>
  <si>
    <t>Aarav Chand</t>
  </si>
  <si>
    <t>Aaina D’Alia</t>
  </si>
  <si>
    <t>Aaina Talwar</t>
  </si>
  <si>
    <t>Aaryahi Mandal</t>
  </si>
  <si>
    <t>Aaryahi Jha</t>
  </si>
  <si>
    <t>Aarna Golla</t>
  </si>
  <si>
    <t>Aaryahi Sengupta</t>
  </si>
  <si>
    <t>Aarav Jani</t>
  </si>
  <si>
    <t>Aaina Aggarwal</t>
  </si>
  <si>
    <t>Aarna Bandi</t>
  </si>
  <si>
    <t>Aarna Sachar</t>
  </si>
  <si>
    <t>Aarav Agate</t>
  </si>
  <si>
    <t>Aarna Sampath</t>
  </si>
  <si>
    <t>Aaryahi Gupta</t>
  </si>
  <si>
    <t>Aarush Bawa</t>
  </si>
  <si>
    <t>Aarush Chaudhary</t>
  </si>
  <si>
    <t>Aarav Shere</t>
  </si>
  <si>
    <t>Aaryahi Dyal</t>
  </si>
  <si>
    <t>Aaina Dayal</t>
  </si>
  <si>
    <t>Aarush Kumer</t>
  </si>
  <si>
    <t>Aarush Lala</t>
  </si>
  <si>
    <t>Aaryahi Dube</t>
  </si>
  <si>
    <t>Aarush Tak</t>
  </si>
  <si>
    <t>Aarav Hora</t>
  </si>
  <si>
    <t>Aaryahi Ghose</t>
  </si>
  <si>
    <t>Aaryahi Chacko</t>
  </si>
  <si>
    <t>Aarush Varughese</t>
  </si>
  <si>
    <t>Aarav Bir</t>
  </si>
  <si>
    <t>Aarna Raval</t>
  </si>
  <si>
    <t>Aarush Setty</t>
  </si>
  <si>
    <t>Aaina Apte</t>
  </si>
  <si>
    <t>Aaryahi Dugal</t>
  </si>
  <si>
    <t>Aaryahi Khalsa</t>
  </si>
  <si>
    <t>Aarna Date</t>
  </si>
  <si>
    <t>Aaryahi Kota</t>
  </si>
  <si>
    <t>Aarush Agrawal</t>
  </si>
  <si>
    <t>Aarna Walla</t>
  </si>
  <si>
    <t>Aarush Amble</t>
  </si>
  <si>
    <t>Aaryahi Shroff</t>
  </si>
  <si>
    <t>Aaryahi Kale</t>
  </si>
  <si>
    <t>Aarna Varghese</t>
  </si>
  <si>
    <t>Aaryahi Shan</t>
  </si>
  <si>
    <t>Aaryahi Bera</t>
  </si>
  <si>
    <t>Aarna Seth</t>
  </si>
  <si>
    <t>Aarna Dasgupta</t>
  </si>
  <si>
    <t>Aaryahi Saxena</t>
  </si>
  <si>
    <t>Aaina Babu</t>
  </si>
  <si>
    <t>Aaina Saha</t>
  </si>
  <si>
    <t>Aarav Sharaf</t>
  </si>
  <si>
    <t>Aarav Andra</t>
  </si>
  <si>
    <t>Aarav Shroff</t>
  </si>
  <si>
    <t>Aarna Deshmukh</t>
  </si>
  <si>
    <t>Aaryahi Sandal</t>
  </si>
  <si>
    <t>Aarush Chacko</t>
  </si>
  <si>
    <t>Aaina Divan</t>
  </si>
  <si>
    <t>Course_Category</t>
  </si>
  <si>
    <t>Team_Lead</t>
  </si>
  <si>
    <t>Vinay Pandey</t>
  </si>
  <si>
    <t>Nidhi Jaiswal</t>
  </si>
  <si>
    <t>Course_Duration</t>
  </si>
  <si>
    <t>Course_Name</t>
  </si>
  <si>
    <t>Student_Gender</t>
  </si>
  <si>
    <t>Start_Date</t>
  </si>
  <si>
    <t>Enrollment_Date</t>
  </si>
  <si>
    <t>End_Date</t>
  </si>
  <si>
    <t>Trainer_Name</t>
  </si>
  <si>
    <t>Experience_Years</t>
  </si>
  <si>
    <t>Course_Fee</t>
  </si>
  <si>
    <t>Year</t>
  </si>
  <si>
    <t>Female</t>
  </si>
  <si>
    <t>Male</t>
  </si>
  <si>
    <t>2 Weeks</t>
  </si>
  <si>
    <t>3 Weeks</t>
  </si>
  <si>
    <t>4 Weeks</t>
  </si>
  <si>
    <t>6 Weeks</t>
  </si>
  <si>
    <t>8 Weeks</t>
  </si>
  <si>
    <t>Neha Shah</t>
  </si>
  <si>
    <t>Siddharth Ranjan</t>
  </si>
  <si>
    <t>Rohit Chaudhary</t>
  </si>
  <si>
    <t>Raushan Sharma</t>
  </si>
  <si>
    <t>Saurabh Bisht</t>
  </si>
  <si>
    <t>Nikhil Malhotra</t>
  </si>
  <si>
    <t>Piyush Kumar</t>
  </si>
  <si>
    <t>Neelima Ranjan</t>
  </si>
  <si>
    <t>Radha Pillai</t>
  </si>
  <si>
    <t>Kunal Gupta</t>
  </si>
  <si>
    <t>Priya Iyer</t>
  </si>
  <si>
    <t>Pooja Patel</t>
  </si>
  <si>
    <t>Sumeet Rajput</t>
  </si>
  <si>
    <t>Namrata Gandhi</t>
  </si>
  <si>
    <t>Sanket Barmecha</t>
  </si>
  <si>
    <t>Manish Raj</t>
  </si>
  <si>
    <t>Teaching Description</t>
  </si>
  <si>
    <t>Key Features of Teaching</t>
  </si>
  <si>
    <t>Admission Source</t>
  </si>
  <si>
    <t>YouTube Ads</t>
  </si>
  <si>
    <t>Data Calling</t>
  </si>
  <si>
    <t>Walk-Ins</t>
  </si>
  <si>
    <t>Referrals</t>
  </si>
  <si>
    <t>Email Campaigns</t>
  </si>
  <si>
    <t>Social Media</t>
  </si>
  <si>
    <t>Akshay Pandey</t>
  </si>
  <si>
    <t>Total Fees</t>
  </si>
  <si>
    <t>Aarav Iyer</t>
  </si>
  <si>
    <t>Aarav Verma</t>
  </si>
  <si>
    <t>Aarav Jain</t>
  </si>
  <si>
    <t>Aarav Khan</t>
  </si>
  <si>
    <t>Aarav Sharma</t>
  </si>
  <si>
    <t>Aarav Malik</t>
  </si>
  <si>
    <t>Aarav Kapoor</t>
  </si>
  <si>
    <t>Aarav Das</t>
  </si>
  <si>
    <t>Aarav Patel</t>
  </si>
  <si>
    <t>Aarav Gupta</t>
  </si>
  <si>
    <t>Aarav Chopra</t>
  </si>
  <si>
    <t>Aarav Rastogi</t>
  </si>
  <si>
    <t>Aarav Saxena</t>
  </si>
  <si>
    <t>Aarav Mehta</t>
  </si>
  <si>
    <t>Aarav Joshi</t>
  </si>
  <si>
    <t>Aarav Nair</t>
  </si>
  <si>
    <t>Aarav Reddy</t>
  </si>
  <si>
    <t>Stationery Fees</t>
  </si>
  <si>
    <t>Year ID</t>
  </si>
  <si>
    <t>Lead Per Cost</t>
  </si>
  <si>
    <t>Operating Cost</t>
  </si>
  <si>
    <t>Total Cost</t>
  </si>
  <si>
    <t>Gross Profit</t>
  </si>
  <si>
    <t>Date_ID</t>
  </si>
  <si>
    <t>Date</t>
  </si>
  <si>
    <t>year</t>
  </si>
  <si>
    <t>Short month</t>
  </si>
  <si>
    <t>Month</t>
  </si>
  <si>
    <t>Gender_ID</t>
  </si>
  <si>
    <t>Course_Duration_ID</t>
  </si>
  <si>
    <t>Category_ID</t>
  </si>
  <si>
    <t>Trainer_ID</t>
  </si>
  <si>
    <t>Status_ID</t>
  </si>
  <si>
    <t>Teaching_Mode_ID</t>
  </si>
  <si>
    <t>Teaching_Desciption_ID</t>
  </si>
  <si>
    <t>Key_Features_ID</t>
  </si>
  <si>
    <t>Admission_Source_ID</t>
  </si>
  <si>
    <t>Team_Lead_ID</t>
  </si>
  <si>
    <t>Student_ID</t>
  </si>
  <si>
    <t>Course_Name_ID</t>
  </si>
  <si>
    <t>Course Duration (Days)</t>
  </si>
  <si>
    <t>Hierarchy_UID</t>
  </si>
  <si>
    <t>Student_Level_Hierarchy</t>
  </si>
  <si>
    <t>UID</t>
  </si>
  <si>
    <t>Column Name</t>
  </si>
  <si>
    <t>Description</t>
  </si>
  <si>
    <t>Unique identifier for each student</t>
  </si>
  <si>
    <t>Foreign key linked to student's gender</t>
  </si>
  <si>
    <t>Date when the student enrolled</t>
  </si>
  <si>
    <t>Foreign key for course name</t>
  </si>
  <si>
    <t>Start_Date / End_Date</t>
  </si>
  <si>
    <t>Actual start and end date of course</t>
  </si>
  <si>
    <t>Foreign key for course duration</t>
  </si>
  <si>
    <t>Foreign key for course category</t>
  </si>
  <si>
    <t>Total fee charged for the course</t>
  </si>
  <si>
    <t>Foreign key for assigned trainer</t>
  </si>
  <si>
    <t>Amount paid to the trainer</t>
  </si>
  <si>
    <t>Trainer's years of experience</t>
  </si>
  <si>
    <t>Current course status (Active, Completed)</t>
  </si>
  <si>
    <t>Mode of teaching (Online, Offline, Hybrid)</t>
  </si>
  <si>
    <t>Extra detail about the teaching style</t>
  </si>
  <si>
    <t>Highlights or features of the training</t>
  </si>
  <si>
    <t>Additional stationery charges</t>
  </si>
  <si>
    <t>Source of admission (online ads, referral, etc.)</t>
  </si>
  <si>
    <t>Cost per lead for student acquisition</t>
  </si>
  <si>
    <t>Operational expense for running the batch</t>
  </si>
  <si>
    <t>Assigned team leader</t>
  </si>
  <si>
    <t>Total of all fees paid by student</t>
  </si>
  <si>
    <t>Combined cost (trainer + stationery + operations)</t>
  </si>
  <si>
    <t>Profit earned = Total Fees - Total Cost</t>
  </si>
  <si>
    <t>Duration of course in days</t>
  </si>
  <si>
    <t>Composite key to join dimension</t>
  </si>
  <si>
    <t>Custom hierarchy level of student</t>
  </si>
  <si>
    <t>Unique hierarchy key</t>
  </si>
  <si>
    <t>Mode of teaching (Online/Offline/Hybrid)</t>
  </si>
  <si>
    <t>Course category ID</t>
  </si>
  <si>
    <t>Source through which student was acquired</t>
  </si>
  <si>
    <t>Name of the course</t>
  </si>
  <si>
    <t>Mode in readable format</t>
  </si>
  <si>
    <t>High-level category of course</t>
  </si>
  <si>
    <t>Name of marketing source</t>
  </si>
  <si>
    <t>Full name of course</t>
  </si>
  <si>
    <t>Unique record ID</t>
  </si>
  <si>
    <t>Mode of teaching</t>
  </si>
  <si>
    <t>Course category</t>
  </si>
  <si>
    <t>Source of admission</t>
  </si>
  <si>
    <t>Course identifier</t>
  </si>
  <si>
    <t>Student assigned to the course</t>
  </si>
  <si>
    <t>Unique date key</t>
  </si>
  <si>
    <t>Full date value</t>
  </si>
  <si>
    <t>Year component</t>
  </si>
  <si>
    <t>Short Month</t>
  </si>
  <si>
    <t>Abbreviated month name (e.g., Jan)</t>
  </si>
  <si>
    <t>Full month name</t>
  </si>
  <si>
    <t>Unique student key</t>
  </si>
  <si>
    <t>Full name of the student</t>
  </si>
  <si>
    <t>Unique gender key</t>
  </si>
  <si>
    <t>Gender label (Male/Female)</t>
  </si>
  <si>
    <t>Unique duration ID</t>
  </si>
  <si>
    <t>Duration in weeks/months</t>
  </si>
  <si>
    <t>Unique trainer key</t>
  </si>
  <si>
    <t>Trainer's full name</t>
  </si>
  <si>
    <t>Course status key</t>
  </si>
  <si>
    <t>Course status (Active/Completed)</t>
  </si>
  <si>
    <t>ID for teaching approach style</t>
  </si>
  <si>
    <t>Description of how it's taught</t>
  </si>
  <si>
    <t>Unique team lead key</t>
  </si>
  <si>
    <t>Name of the team lead</t>
  </si>
  <si>
    <t>Unique ID for feature set</t>
  </si>
  <si>
    <t>Key USPs or training highlights</t>
  </si>
  <si>
    <t>From (Fact Table)</t>
  </si>
  <si>
    <t>To (Dimension Table)</t>
  </si>
  <si>
    <t>Key Field</t>
  </si>
  <si>
    <t>Cardinality</t>
  </si>
  <si>
    <t>Output.Student_ID</t>
  </si>
  <si>
    <t>Student_Dim.Student_ID</t>
  </si>
  <si>
    <t>Many to One (*)</t>
  </si>
  <si>
    <t>Output.Course_Name_ID</t>
  </si>
  <si>
    <t>Hierarchy_Dim.Course_Name_ID</t>
  </si>
  <si>
    <t>Output.Date</t>
  </si>
  <si>
    <t>Date_Dim.Date</t>
  </si>
  <si>
    <t>Start_Date / Enrollment</t>
  </si>
  <si>
    <t>Output.Trainer_ID</t>
  </si>
  <si>
    <t>Trainer_Dim.Trainer_ID</t>
  </si>
  <si>
    <t>Output.Status_ID</t>
  </si>
  <si>
    <t>Status_Dim.Status_ID</t>
  </si>
  <si>
    <t>Output.Gender_ID</t>
  </si>
  <si>
    <t>Gender_Dim.Gender_ID</t>
  </si>
  <si>
    <t>Output.Team_Lead_ID</t>
  </si>
  <si>
    <t>Team_Lead_Dim.Team_Lead_ID</t>
  </si>
  <si>
    <t>Output.Key_Features_ID</t>
  </si>
  <si>
    <t>Key_Features_Training_Dim.Key_Features_ID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</si>
</sst>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6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numFmt numFmtId="19" formatCode="m/d/yyyy"/>
    </dxf>
    <dxf>
      <fill>
        <patternFill>
          <fgColor indexed="64"/>
          <bgColor theme="3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34BB56-5D69-45C6-A044-8E0F4B219852}" name="Table4" displayName="Table4" ref="A1:AC350" totalsRowShown="0" headerRowDxfId="60">
  <autoFilter ref="A1:AC350" xr:uid="{BD34BB56-5D69-45C6-A044-8E0F4B219852}"/>
  <tableColumns count="29">
    <tableColumn id="1" xr3:uid="{C5CB6482-B466-4580-90F8-40237482A341}" name="Year ID">
      <calculatedColumnFormula>_xlfn.XLOOKUP(E2,Date_Dim!B:B,Date_Dim!A:A)</calculatedColumnFormula>
    </tableColumn>
    <tableColumn id="2" xr3:uid="{39B52FA0-AB49-47A1-8BC6-60D9BD1C015B}" name="Year"/>
    <tableColumn id="3" xr3:uid="{3A364A60-C647-445F-A069-33C0050C3D47}" name="Student_ID"/>
    <tableColumn id="4" xr3:uid="{E4FB92EF-8E59-4FEC-9AE6-4BEE81D4B43E}" name="Gender_ID"/>
    <tableColumn id="5" xr3:uid="{E2FB5811-725D-4861-984D-B0580272CC86}" name="Enrollment_Date" dataDxfId="59"/>
    <tableColumn id="6" xr3:uid="{787DB256-2BCA-474A-8BA7-994D270F62B7}" name="Course_Name_ID"/>
    <tableColumn id="7" xr3:uid="{947BA546-46C2-49B6-8DF8-EA9AF0C0BB3A}" name="Start_Date" dataDxfId="58"/>
    <tableColumn id="8" xr3:uid="{533C6AC9-B474-4638-A368-740E0F202AC3}" name="End_Date" dataDxfId="57"/>
    <tableColumn id="9" xr3:uid="{9F3F863C-1CFF-4710-BA75-30705B0C6E04}" name="Course_Duration_ID"/>
    <tableColumn id="10" xr3:uid="{BCDC903F-1E52-4CD5-B211-E1B0592E342D}" name="Category_ID"/>
    <tableColumn id="11" xr3:uid="{FF2BBAB5-C709-441E-9DC5-0A7C68041B93}" name="Course_Fee"/>
    <tableColumn id="12" xr3:uid="{7696AD05-4A85-453C-A8EC-2715C800F8B4}" name="Trainer_ID"/>
    <tableColumn id="13" xr3:uid="{2D5B4F2E-3546-45DA-AE76-6E1314CB96DC}" name="Trainer_Fee"/>
    <tableColumn id="14" xr3:uid="{4ECE2733-EE89-4233-8F59-BE77C08422E9}" name="Experience_Years"/>
    <tableColumn id="15" xr3:uid="{504C40D9-969E-4959-87A5-499546524BB4}" name="Status_ID"/>
    <tableColumn id="16" xr3:uid="{21EAF632-763A-45F1-A765-83CFCBF38974}" name="Teaching_Mode_ID"/>
    <tableColumn id="17" xr3:uid="{5D69EB5C-F9A1-478F-B1BD-C79B9F6BEC71}" name="Teaching_Desciption_ID"/>
    <tableColumn id="18" xr3:uid="{444D3692-767A-4468-B534-885BED8A2ED1}" name="Key_Features_ID"/>
    <tableColumn id="19" xr3:uid="{6EBA0962-388A-4DC3-95F9-92C1ACE5FEDA}" name="Stationery Fees"/>
    <tableColumn id="20" xr3:uid="{8D26242C-AD59-4E14-89AD-4642DD5A5B1D}" name="Admission_Source_ID"/>
    <tableColumn id="21" xr3:uid="{D8E02A97-D929-4D11-92F1-F059417906A7}" name="Lead Per Cost"/>
    <tableColumn id="22" xr3:uid="{8771A2FF-9D9C-4EC8-802C-E8051EB16EE7}" name="Operating Cost"/>
    <tableColumn id="23" xr3:uid="{F3E5F47D-0924-4817-A098-808EB81EF57B}" name="Team_Lead_ID"/>
    <tableColumn id="24" xr3:uid="{31E5498D-4B1D-4F49-8A14-0330558040D5}" name="Total Fees"/>
    <tableColumn id="25" xr3:uid="{F28CE5C4-0F8C-4E46-85F3-AC0B4E88E3D0}" name="Total Cost">
      <calculatedColumnFormula>M2+U2+V2</calculatedColumnFormula>
    </tableColumn>
    <tableColumn id="26" xr3:uid="{0A10998D-C749-42D7-AA60-7FA07C781949}" name="Gross Profit">
      <calculatedColumnFormula>X2-Y2</calculatedColumnFormula>
    </tableColumn>
    <tableColumn id="27" xr3:uid="{7D31A043-2B06-4233-BF80-A9EC516E927C}" name="Course Duration (Days)">
      <calculatedColumnFormula>H2-G2</calculatedColumnFormula>
    </tableColumn>
    <tableColumn id="28" xr3:uid="{1E60303A-74BD-4B3F-BFB5-5C8F9FAB1FA4}" name="Hierarchy_UID">
      <calculatedColumnFormula>P2&amp;J2&amp;T2&amp;F2</calculatedColumnFormula>
    </tableColumn>
    <tableColumn id="29" xr3:uid="{B4E994DA-A8F5-42B4-B369-F54D3AE7A308}" name="Student_Level_Hierarchy">
      <calculatedColumnFormula>P2&amp;"1"&amp;J2&amp;"1"&amp;T2&amp;"1"&amp;F2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5E9DD-562C-4F61-BE5E-DD4F61AC88CA}" name="Table1" displayName="Table1" ref="A1:B27" totalsRowShown="0" headerRowDxfId="50" dataDxfId="51">
  <autoFilter ref="A1:B27" xr:uid="{DE75E9DD-562C-4F61-BE5E-DD4F61AC88CA}"/>
  <tableColumns count="2">
    <tableColumn id="1" xr3:uid="{6EAD8E9C-0902-49ED-B24D-FFF37535A3D7}" name="Column Name" dataDxfId="53"/>
    <tableColumn id="2" xr3:uid="{763FD699-ADB3-414E-B718-2A7EE78F4A46}" name="Description" dataDxfId="5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33AA6-3C88-4BB5-AB57-08CF0986D559}" name="Table2" displayName="Table2" ref="D1:E10" totalsRowShown="0" headerRowDxfId="46" dataDxfId="47">
  <autoFilter ref="D1:E10" xr:uid="{F0333AA6-3C88-4BB5-AB57-08CF0986D559}"/>
  <tableColumns count="2">
    <tableColumn id="1" xr3:uid="{726BE897-71A8-4755-B538-4404EB701964}" name="Column Name" dataDxfId="49"/>
    <tableColumn id="2" xr3:uid="{707E4E15-CB9A-467F-A605-97A1CBED72BD}" name="Description" dataDxfId="4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2E61CF-EBB8-4CC8-9E57-5FFD9AA15615}" name="Table5" displayName="Table5" ref="D12:E18" totalsRowShown="0" headerRowDxfId="42" dataDxfId="43">
  <autoFilter ref="D12:E18" xr:uid="{7C2E61CF-EBB8-4CC8-9E57-5FFD9AA15615}"/>
  <tableColumns count="2">
    <tableColumn id="1" xr3:uid="{330369FF-D7CC-4B52-B366-DADDC5E33895}" name="Column Name" dataDxfId="45"/>
    <tableColumn id="2" xr3:uid="{925F3BB6-7A26-40A9-B427-24D1D0340866}" name="Description" dataDxfId="4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02136D-6E33-412A-AD56-21147526CAEF}" name="Table6" displayName="Table6" ref="D20:E25" totalsRowShown="0" headerRowDxfId="38" dataDxfId="39">
  <autoFilter ref="D20:E25" xr:uid="{C802136D-6E33-412A-AD56-21147526CAEF}"/>
  <tableColumns count="2">
    <tableColumn id="1" xr3:uid="{F3A39BC9-D239-4C71-A9C6-A2CA5E748341}" name="Column Name" dataDxfId="41"/>
    <tableColumn id="2" xr3:uid="{44FD64E9-7987-4990-B0E3-0940C24D3EA8}" name="Description" dataDxfId="4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1A3FB7-32DE-481D-B616-CBDB3496D55F}" name="Table7" displayName="Table7" ref="G1:H3" totalsRowShown="0" headerRowDxfId="34" dataDxfId="35">
  <autoFilter ref="G1:H3" xr:uid="{B81A3FB7-32DE-481D-B616-CBDB3496D55F}"/>
  <tableColumns count="2">
    <tableColumn id="1" xr3:uid="{3CB8B43D-196E-4B51-A824-677364D24FDD}" name="Column Name" dataDxfId="37"/>
    <tableColumn id="2" xr3:uid="{DF9C1931-9F69-4AF3-AAAF-AB564843DED4}" name="Description" dataDxfId="3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F80A6-2B63-40B5-B8A3-313CB78FA432}" name="Table8" displayName="Table8" ref="G5:H7" totalsRowShown="0" headerRowDxfId="30" dataDxfId="31">
  <autoFilter ref="G5:H7" xr:uid="{A4DF80A6-2B63-40B5-B8A3-313CB78FA432}"/>
  <tableColumns count="2">
    <tableColumn id="1" xr3:uid="{FEFB62BA-32AC-4CAB-A473-B935374D9570}" name="Column Name" dataDxfId="33"/>
    <tableColumn id="2" xr3:uid="{EC5192D3-0A07-42F2-9712-32FEB0F5D7E1}" name="Description" dataDxfId="3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D23D9B-8F90-4762-918F-88AFABD5E766}" name="Table9" displayName="Table9" ref="G9:H11" totalsRowShown="0" headerRowDxfId="26" dataDxfId="27">
  <autoFilter ref="G9:H11" xr:uid="{14D23D9B-8F90-4762-918F-88AFABD5E766}"/>
  <tableColumns count="2">
    <tableColumn id="1" xr3:uid="{9A45E3C5-A49F-40E5-B0CD-AB5029F087A4}" name="Column Name" dataDxfId="29"/>
    <tableColumn id="2" xr3:uid="{2A6F8FC7-6166-4DC0-B795-1FCF353D5D85}" name="Description" dataDxfId="2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DCFFB5-26BE-468A-B378-FAA475B72475}" name="Table10" displayName="Table10" ref="G13:H15" totalsRowShown="0" headerRowDxfId="22" dataDxfId="23">
  <autoFilter ref="G13:H15" xr:uid="{B0DCFFB5-26BE-468A-B378-FAA475B72475}"/>
  <tableColumns count="2">
    <tableColumn id="1" xr3:uid="{EC10D597-AB49-4DCA-A520-2B6829C6FFA5}" name="Column Name" dataDxfId="25"/>
    <tableColumn id="2" xr3:uid="{ACFBB91A-794F-4834-B2E6-1355A36DA70A}" name="Description" dataDxfId="2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347D66E-83CB-4D98-8621-C02852908A8B}" name="Table11" displayName="Table11" ref="G17:H19" totalsRowShown="0" headerRowDxfId="18" dataDxfId="19">
  <autoFilter ref="G17:H19" xr:uid="{D347D66E-83CB-4D98-8621-C02852908A8B}"/>
  <tableColumns count="2">
    <tableColumn id="1" xr3:uid="{5443CCF9-7E9F-46E2-AE53-830F6861F451}" name="Column Name" dataDxfId="21"/>
    <tableColumn id="2" xr3:uid="{6FA8E30C-6099-46AB-AFE1-213C3C953B50}" name="Description" dataDxfId="2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694F7F-5C23-4B00-8118-2301565F347D}" name="Table12" displayName="Table12" ref="G21:H23" totalsRowShown="0" headerRowDxfId="14" dataDxfId="15">
  <autoFilter ref="G21:H23" xr:uid="{EF694F7F-5C23-4B00-8118-2301565F347D}"/>
  <tableColumns count="2">
    <tableColumn id="1" xr3:uid="{BDAF16B2-F431-423D-9A40-D315E14DA7E0}" name="Column Name" dataDxfId="17"/>
    <tableColumn id="2" xr3:uid="{0767D042-F628-4DCE-8725-A3E0FA25D8B4}" name="Description" dataDxfId="16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10C766-34C9-4745-880A-72246BD5CCF0}" name="Table13" displayName="Table13" ref="G25:H27" totalsRowShown="0" headerRowDxfId="10" dataDxfId="11">
  <autoFilter ref="G25:H27" xr:uid="{0610C766-34C9-4745-880A-72246BD5CCF0}"/>
  <tableColumns count="2">
    <tableColumn id="1" xr3:uid="{A4C06EA3-4143-4FCA-A38F-B662B66BBD09}" name="Column Name" dataDxfId="13"/>
    <tableColumn id="2" xr3:uid="{1A7853BB-F772-4B5D-838F-21DE0811E85C}" name="Description" dataDxfId="1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3A6AA01-5FE8-4309-8595-9A9999808D20}" name="Table14" displayName="Table14" ref="J1:K3" totalsRowShown="0" headerRowDxfId="6" dataDxfId="7">
  <autoFilter ref="J1:K3" xr:uid="{83A6AA01-5FE8-4309-8595-9A9999808D20}"/>
  <tableColumns count="2">
    <tableColumn id="1" xr3:uid="{BCAF04D6-A5CF-44C2-8A86-7B5D5A5983F5}" name="Column Name" dataDxfId="9"/>
    <tableColumn id="2" xr3:uid="{3FA970BF-45CE-48F7-8EED-EA4EBC966131}" name="Description" dataDxfId="8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1FD9BE5-446B-4E47-A880-F117DEB86D05}" name="Table15" displayName="Table15" ref="J5:M13" totalsRowShown="0" headerRowDxfId="0" dataDxfId="1">
  <autoFilter ref="J5:M13" xr:uid="{01FD9BE5-446B-4E47-A880-F117DEB86D05}"/>
  <tableColumns count="4">
    <tableColumn id="1" xr3:uid="{15E23D17-746E-47C9-8F4A-31574E75779E}" name="From (Fact Table)" dataDxfId="5"/>
    <tableColumn id="2" xr3:uid="{9185D0A4-ABA5-42B9-A0C4-2B0C9F03FD9E}" name="To (Dimension Table)" dataDxfId="4"/>
    <tableColumn id="3" xr3:uid="{347345AE-2E8F-4FF4-A870-BD85745854F4}" name="Key Field" dataDxfId="3"/>
    <tableColumn id="4" xr3:uid="{4E7D8DDB-44EE-4C66-BAB4-B8124F107985}" name="Cardinality" dataDxfId="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E58F9-B4EF-4D7C-AB10-40568A2CB491}" name="Table3" displayName="Table3" ref="A1:B216" totalsRowShown="0" headerRowDxfId="56">
  <tableColumns count="2">
    <tableColumn id="1" xr3:uid="{602574D5-C07C-4B4D-8169-5F897FABF506}" name="Student_ID"/>
    <tableColumn id="2" xr3:uid="{BFF77EE9-FC68-4637-9AB3-4BA485231E87}" name="Studen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BD28-6ABA-4B7C-B808-088574EABB39}">
  <dimension ref="A1:AC350"/>
  <sheetViews>
    <sheetView topLeftCell="AD5" workbookViewId="0">
      <selection activeCell="AG7" sqref="AG7:AH33"/>
    </sheetView>
  </sheetViews>
  <sheetFormatPr defaultRowHeight="14.4" x14ac:dyDescent="0.3"/>
  <cols>
    <col min="1" max="1" width="9.109375" bestFit="1" customWidth="1"/>
    <col min="2" max="2" width="6.88671875" bestFit="1" customWidth="1"/>
    <col min="3" max="3" width="12.6640625" bestFit="1" customWidth="1"/>
    <col min="4" max="4" width="12.109375" bestFit="1" customWidth="1"/>
    <col min="5" max="5" width="17.44140625" bestFit="1" customWidth="1"/>
    <col min="6" max="6" width="17.88671875" bestFit="1" customWidth="1"/>
    <col min="7" max="7" width="12.109375" bestFit="1" customWidth="1"/>
    <col min="8" max="8" width="11.33203125" bestFit="1" customWidth="1"/>
    <col min="9" max="9" width="20.33203125" bestFit="1" customWidth="1"/>
    <col min="10" max="10" width="13.5546875" bestFit="1" customWidth="1"/>
    <col min="11" max="11" width="12.88671875" bestFit="1" customWidth="1"/>
    <col min="12" max="12" width="11.88671875" bestFit="1" customWidth="1"/>
    <col min="13" max="13" width="13" bestFit="1" customWidth="1"/>
    <col min="14" max="14" width="17.88671875" bestFit="1" customWidth="1"/>
    <col min="15" max="15" width="11.21875" bestFit="1" customWidth="1"/>
    <col min="16" max="16" width="19.77734375" bestFit="1" customWidth="1"/>
    <col min="17" max="17" width="23.6640625" bestFit="1" customWidth="1"/>
    <col min="18" max="18" width="17.33203125" bestFit="1" customWidth="1"/>
    <col min="19" max="19" width="16.109375" bestFit="1" customWidth="1"/>
    <col min="20" max="20" width="21.6640625" customWidth="1"/>
    <col min="21" max="21" width="14.5546875" bestFit="1" customWidth="1"/>
    <col min="22" max="23" width="15.77734375" bestFit="1" customWidth="1"/>
    <col min="24" max="25" width="11.5546875" bestFit="1" customWidth="1"/>
    <col min="26" max="26" width="12.88671875" bestFit="1" customWidth="1"/>
    <col min="27" max="27" width="22.77734375" bestFit="1" customWidth="1"/>
    <col min="28" max="28" width="15.44140625" bestFit="1" customWidth="1"/>
    <col min="29" max="29" width="23.88671875" customWidth="1"/>
    <col min="30" max="32" width="10.44140625" customWidth="1"/>
    <col min="33" max="33" width="21.5546875" bestFit="1" customWidth="1"/>
    <col min="34" max="38" width="10.44140625" customWidth="1"/>
    <col min="39" max="128" width="11.44140625" customWidth="1"/>
    <col min="129" max="1028" width="12.44140625" customWidth="1"/>
    <col min="1029" max="10028" width="13.44140625" customWidth="1"/>
    <col min="10029" max="16384" width="14.44140625" customWidth="1"/>
  </cols>
  <sheetData>
    <row r="1" spans="1:29" s="5" customFormat="1" x14ac:dyDescent="0.3">
      <c r="A1" s="3" t="s">
        <v>335</v>
      </c>
      <c r="B1" s="3" t="s">
        <v>282</v>
      </c>
      <c r="C1" s="4" t="s">
        <v>355</v>
      </c>
      <c r="D1" s="4" t="s">
        <v>345</v>
      </c>
      <c r="E1" s="4" t="s">
        <v>277</v>
      </c>
      <c r="F1" s="4" t="s">
        <v>356</v>
      </c>
      <c r="G1" s="4" t="s">
        <v>276</v>
      </c>
      <c r="H1" s="4" t="s">
        <v>278</v>
      </c>
      <c r="I1" s="4" t="s">
        <v>346</v>
      </c>
      <c r="J1" s="4" t="s">
        <v>347</v>
      </c>
      <c r="K1" s="4" t="s">
        <v>281</v>
      </c>
      <c r="L1" s="4" t="s">
        <v>348</v>
      </c>
      <c r="M1" s="4" t="s">
        <v>46</v>
      </c>
      <c r="N1" s="4" t="s">
        <v>280</v>
      </c>
      <c r="O1" s="4" t="s">
        <v>349</v>
      </c>
      <c r="P1" s="4" t="s">
        <v>350</v>
      </c>
      <c r="Q1" s="4" t="s">
        <v>351</v>
      </c>
      <c r="R1" s="4" t="s">
        <v>352</v>
      </c>
      <c r="S1" s="4" t="s">
        <v>334</v>
      </c>
      <c r="T1" s="4" t="s">
        <v>353</v>
      </c>
      <c r="U1" s="4" t="s">
        <v>336</v>
      </c>
      <c r="V1" s="4" t="s">
        <v>337</v>
      </c>
      <c r="W1" s="4" t="s">
        <v>354</v>
      </c>
      <c r="X1" s="4" t="s">
        <v>316</v>
      </c>
      <c r="Y1" s="4" t="s">
        <v>338</v>
      </c>
      <c r="Z1" s="4" t="s">
        <v>339</v>
      </c>
      <c r="AA1" s="4" t="s">
        <v>357</v>
      </c>
      <c r="AB1" s="4" t="s">
        <v>358</v>
      </c>
      <c r="AC1" s="4" t="s">
        <v>359</v>
      </c>
    </row>
    <row r="2" spans="1:29" x14ac:dyDescent="0.3">
      <c r="A2">
        <f>_xlfn.XLOOKUP(E2,Date_Dim!B:B,Date_Dim!A:A)</f>
        <v>1</v>
      </c>
      <c r="B2">
        <v>2022</v>
      </c>
      <c r="C2">
        <v>1</v>
      </c>
      <c r="D2">
        <v>2</v>
      </c>
      <c r="E2" s="1">
        <v>45113</v>
      </c>
      <c r="F2">
        <v>1</v>
      </c>
      <c r="G2" s="1">
        <v>45143</v>
      </c>
      <c r="H2" s="1">
        <v>45157</v>
      </c>
      <c r="I2">
        <v>1</v>
      </c>
      <c r="J2">
        <v>1</v>
      </c>
      <c r="K2">
        <v>1459</v>
      </c>
      <c r="L2">
        <v>1</v>
      </c>
      <c r="M2">
        <v>3000</v>
      </c>
      <c r="N2">
        <v>15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1783.6000000000001</v>
      </c>
      <c r="W2">
        <v>1</v>
      </c>
      <c r="X2">
        <v>4459</v>
      </c>
      <c r="Y2">
        <f t="shared" ref="Y2:Y65" si="0">M2+U2+V2</f>
        <v>4783.6000000000004</v>
      </c>
      <c r="Z2">
        <f t="shared" ref="Z2:Z65" si="1">X2-Y2</f>
        <v>-324.60000000000036</v>
      </c>
      <c r="AA2">
        <f t="shared" ref="AA2:AA65" si="2">H2-G2</f>
        <v>14</v>
      </c>
      <c r="AB2" t="str">
        <f t="shared" ref="AB2:AB65" si="3">P2&amp;J2&amp;T2&amp;F2</f>
        <v>1111</v>
      </c>
      <c r="AC2" t="str">
        <f t="shared" ref="AC2:AC65" si="4">P2&amp;"1"&amp;J2&amp;"1"&amp;T2&amp;"1"&amp;F2</f>
        <v>1111111</v>
      </c>
    </row>
    <row r="3" spans="1:29" x14ac:dyDescent="0.3">
      <c r="A3">
        <f>_xlfn.XLOOKUP(E3,Date_Dim!B:B,Date_Dim!A:A)</f>
        <v>2</v>
      </c>
      <c r="B3">
        <v>2020</v>
      </c>
      <c r="C3">
        <v>2</v>
      </c>
      <c r="D3">
        <v>2</v>
      </c>
      <c r="E3" s="1">
        <v>44697</v>
      </c>
      <c r="F3">
        <v>2</v>
      </c>
      <c r="G3" s="1">
        <v>44727</v>
      </c>
      <c r="H3" s="1">
        <v>44769</v>
      </c>
      <c r="I3">
        <v>4</v>
      </c>
      <c r="J3">
        <v>2</v>
      </c>
      <c r="K3">
        <v>1999</v>
      </c>
      <c r="L3">
        <v>2</v>
      </c>
      <c r="M3">
        <v>4000</v>
      </c>
      <c r="N3">
        <v>14</v>
      </c>
      <c r="O3">
        <v>1</v>
      </c>
      <c r="P3">
        <v>1</v>
      </c>
      <c r="Q3">
        <v>1</v>
      </c>
      <c r="R3">
        <v>1</v>
      </c>
      <c r="S3">
        <v>0</v>
      </c>
      <c r="T3">
        <v>2</v>
      </c>
      <c r="U3">
        <v>175</v>
      </c>
      <c r="V3">
        <v>2399.6</v>
      </c>
      <c r="W3">
        <v>2</v>
      </c>
      <c r="X3">
        <v>5999</v>
      </c>
      <c r="Y3">
        <f t="shared" si="0"/>
        <v>6574.6</v>
      </c>
      <c r="Z3">
        <f t="shared" si="1"/>
        <v>-575.60000000000036</v>
      </c>
      <c r="AA3">
        <f t="shared" si="2"/>
        <v>42</v>
      </c>
      <c r="AB3" t="str">
        <f t="shared" si="3"/>
        <v>1222</v>
      </c>
      <c r="AC3" t="str">
        <f t="shared" si="4"/>
        <v>1121212</v>
      </c>
    </row>
    <row r="4" spans="1:29" x14ac:dyDescent="0.3">
      <c r="A4">
        <f>_xlfn.XLOOKUP(E4,Date_Dim!B:B,Date_Dim!A:A)</f>
        <v>3</v>
      </c>
      <c r="B4">
        <v>2023</v>
      </c>
      <c r="C4">
        <v>2</v>
      </c>
      <c r="D4">
        <v>2</v>
      </c>
      <c r="E4" s="1">
        <v>45072</v>
      </c>
      <c r="F4">
        <v>3</v>
      </c>
      <c r="G4" s="1">
        <v>45102</v>
      </c>
      <c r="H4" s="1">
        <v>45130</v>
      </c>
      <c r="I4">
        <v>3</v>
      </c>
      <c r="J4">
        <v>3</v>
      </c>
      <c r="K4">
        <v>1689</v>
      </c>
      <c r="L4">
        <v>3</v>
      </c>
      <c r="M4">
        <v>2000</v>
      </c>
      <c r="N4">
        <v>12</v>
      </c>
      <c r="O4">
        <v>1</v>
      </c>
      <c r="P4">
        <v>1</v>
      </c>
      <c r="Q4">
        <v>1</v>
      </c>
      <c r="R4">
        <v>1</v>
      </c>
      <c r="S4">
        <v>0</v>
      </c>
      <c r="T4">
        <v>2</v>
      </c>
      <c r="U4">
        <v>175</v>
      </c>
      <c r="V4">
        <v>1106.7000000000003</v>
      </c>
      <c r="W4">
        <v>2</v>
      </c>
      <c r="X4">
        <v>3689</v>
      </c>
      <c r="Y4">
        <f t="shared" si="0"/>
        <v>3281.7000000000003</v>
      </c>
      <c r="Z4">
        <f t="shared" si="1"/>
        <v>407.29999999999973</v>
      </c>
      <c r="AA4">
        <f t="shared" si="2"/>
        <v>28</v>
      </c>
      <c r="AB4" t="str">
        <f t="shared" si="3"/>
        <v>1323</v>
      </c>
      <c r="AC4" t="str">
        <f t="shared" si="4"/>
        <v>1131213</v>
      </c>
    </row>
    <row r="5" spans="1:29" x14ac:dyDescent="0.3">
      <c r="A5">
        <f>_xlfn.XLOOKUP(E5,Date_Dim!B:B,Date_Dim!A:A)</f>
        <v>4</v>
      </c>
      <c r="B5">
        <v>2021</v>
      </c>
      <c r="C5">
        <v>3</v>
      </c>
      <c r="D5">
        <v>2</v>
      </c>
      <c r="E5" s="1">
        <v>45511</v>
      </c>
      <c r="F5">
        <v>4</v>
      </c>
      <c r="G5" s="1">
        <v>45541</v>
      </c>
      <c r="H5" s="1">
        <v>45555</v>
      </c>
      <c r="I5">
        <v>1</v>
      </c>
      <c r="J5">
        <v>2</v>
      </c>
      <c r="K5">
        <v>1459</v>
      </c>
      <c r="L5">
        <v>4</v>
      </c>
      <c r="M5">
        <v>1000</v>
      </c>
      <c r="N5">
        <v>5</v>
      </c>
      <c r="O5">
        <v>1</v>
      </c>
      <c r="P5">
        <v>2</v>
      </c>
      <c r="Q5">
        <v>2</v>
      </c>
      <c r="R5">
        <v>2</v>
      </c>
      <c r="S5">
        <v>6000</v>
      </c>
      <c r="T5">
        <v>2</v>
      </c>
      <c r="U5">
        <v>175</v>
      </c>
      <c r="V5">
        <v>3383.6000000000004</v>
      </c>
      <c r="W5">
        <v>3</v>
      </c>
      <c r="X5">
        <v>8459</v>
      </c>
      <c r="Y5">
        <f t="shared" si="0"/>
        <v>4558.6000000000004</v>
      </c>
      <c r="Z5">
        <f t="shared" si="1"/>
        <v>3900.3999999999996</v>
      </c>
      <c r="AA5">
        <f t="shared" si="2"/>
        <v>14</v>
      </c>
      <c r="AB5" t="str">
        <f t="shared" si="3"/>
        <v>2224</v>
      </c>
      <c r="AC5" t="str">
        <f t="shared" si="4"/>
        <v>2121214</v>
      </c>
    </row>
    <row r="6" spans="1:29" x14ac:dyDescent="0.3">
      <c r="A6">
        <f>_xlfn.XLOOKUP(E6,Date_Dim!B:B,Date_Dim!A:A)</f>
        <v>5</v>
      </c>
      <c r="B6">
        <v>2021</v>
      </c>
      <c r="C6">
        <v>4</v>
      </c>
      <c r="D6">
        <v>2</v>
      </c>
      <c r="E6" s="1">
        <v>44194</v>
      </c>
      <c r="F6">
        <v>5</v>
      </c>
      <c r="G6" s="1">
        <v>44224</v>
      </c>
      <c r="H6" s="1">
        <v>44280</v>
      </c>
      <c r="I6">
        <v>5</v>
      </c>
      <c r="J6">
        <v>4</v>
      </c>
      <c r="K6">
        <v>2699</v>
      </c>
      <c r="L6">
        <v>5</v>
      </c>
      <c r="M6">
        <v>5000</v>
      </c>
      <c r="N6">
        <v>8</v>
      </c>
      <c r="O6">
        <v>1</v>
      </c>
      <c r="P6">
        <v>3</v>
      </c>
      <c r="Q6">
        <v>3</v>
      </c>
      <c r="R6">
        <v>3</v>
      </c>
      <c r="S6">
        <v>2000</v>
      </c>
      <c r="T6">
        <v>3</v>
      </c>
      <c r="U6">
        <v>125</v>
      </c>
      <c r="V6">
        <v>2909.7000000000003</v>
      </c>
      <c r="W6">
        <v>4</v>
      </c>
      <c r="X6">
        <v>9699</v>
      </c>
      <c r="Y6">
        <f t="shared" si="0"/>
        <v>8034.7000000000007</v>
      </c>
      <c r="Z6">
        <f t="shared" si="1"/>
        <v>1664.2999999999993</v>
      </c>
      <c r="AA6">
        <f t="shared" si="2"/>
        <v>56</v>
      </c>
      <c r="AB6" t="str">
        <f t="shared" si="3"/>
        <v>3435</v>
      </c>
      <c r="AC6" t="str">
        <f t="shared" si="4"/>
        <v>3141315</v>
      </c>
    </row>
    <row r="7" spans="1:29" x14ac:dyDescent="0.3">
      <c r="A7">
        <f>_xlfn.XLOOKUP(E7,Date_Dim!B:B,Date_Dim!A:A)</f>
        <v>6</v>
      </c>
      <c r="B7">
        <v>2024</v>
      </c>
      <c r="C7">
        <v>4</v>
      </c>
      <c r="D7">
        <v>2</v>
      </c>
      <c r="E7" s="1">
        <v>45128</v>
      </c>
      <c r="F7">
        <v>6</v>
      </c>
      <c r="G7" s="1">
        <v>45158</v>
      </c>
      <c r="H7" s="1">
        <v>45200</v>
      </c>
      <c r="I7">
        <v>4</v>
      </c>
      <c r="J7">
        <v>4</v>
      </c>
      <c r="K7">
        <v>1999</v>
      </c>
      <c r="L7">
        <v>6</v>
      </c>
      <c r="M7">
        <v>3000</v>
      </c>
      <c r="N7">
        <v>9</v>
      </c>
      <c r="O7">
        <v>1</v>
      </c>
      <c r="P7">
        <v>4</v>
      </c>
      <c r="Q7">
        <v>4</v>
      </c>
      <c r="R7">
        <v>4</v>
      </c>
      <c r="S7">
        <v>0</v>
      </c>
      <c r="T7">
        <v>4</v>
      </c>
      <c r="U7">
        <v>135</v>
      </c>
      <c r="V7">
        <v>1499.7000000000003</v>
      </c>
      <c r="W7">
        <v>5</v>
      </c>
      <c r="X7">
        <v>4999</v>
      </c>
      <c r="Y7">
        <f t="shared" si="0"/>
        <v>4634.7000000000007</v>
      </c>
      <c r="Z7">
        <f t="shared" si="1"/>
        <v>364.29999999999927</v>
      </c>
      <c r="AA7">
        <f t="shared" si="2"/>
        <v>42</v>
      </c>
      <c r="AB7" t="str">
        <f t="shared" si="3"/>
        <v>4446</v>
      </c>
      <c r="AC7" t="str">
        <f t="shared" si="4"/>
        <v>4141416</v>
      </c>
    </row>
    <row r="8" spans="1:29" x14ac:dyDescent="0.3">
      <c r="A8">
        <f>_xlfn.XLOOKUP(E8,Date_Dim!B:B,Date_Dim!A:A)</f>
        <v>7</v>
      </c>
      <c r="B8">
        <v>2021</v>
      </c>
      <c r="C8">
        <v>5</v>
      </c>
      <c r="D8">
        <v>2</v>
      </c>
      <c r="E8" s="1">
        <v>45063</v>
      </c>
      <c r="F8">
        <v>7</v>
      </c>
      <c r="G8" s="1">
        <v>45093</v>
      </c>
      <c r="H8" s="1">
        <v>45114</v>
      </c>
      <c r="I8">
        <v>2</v>
      </c>
      <c r="J8">
        <v>3</v>
      </c>
      <c r="K8">
        <v>1559</v>
      </c>
      <c r="L8">
        <v>7</v>
      </c>
      <c r="M8">
        <v>1500</v>
      </c>
      <c r="N8">
        <v>1</v>
      </c>
      <c r="O8">
        <v>1</v>
      </c>
      <c r="P8">
        <v>1</v>
      </c>
      <c r="Q8">
        <v>1</v>
      </c>
      <c r="R8">
        <v>1</v>
      </c>
      <c r="S8">
        <v>0</v>
      </c>
      <c r="T8">
        <v>2</v>
      </c>
      <c r="U8">
        <v>175</v>
      </c>
      <c r="V8">
        <v>917.70000000000016</v>
      </c>
      <c r="W8">
        <v>2</v>
      </c>
      <c r="X8">
        <v>3059</v>
      </c>
      <c r="Y8">
        <f t="shared" si="0"/>
        <v>2592.7000000000003</v>
      </c>
      <c r="Z8">
        <f t="shared" si="1"/>
        <v>466.29999999999973</v>
      </c>
      <c r="AA8">
        <f t="shared" si="2"/>
        <v>21</v>
      </c>
      <c r="AB8" t="str">
        <f t="shared" si="3"/>
        <v>1327</v>
      </c>
      <c r="AC8" t="str">
        <f t="shared" si="4"/>
        <v>1131217</v>
      </c>
    </row>
    <row r="9" spans="1:29" x14ac:dyDescent="0.3">
      <c r="A9">
        <f>_xlfn.XLOOKUP(E9,Date_Dim!B:B,Date_Dim!A:A)</f>
        <v>8</v>
      </c>
      <c r="B9">
        <v>2024</v>
      </c>
      <c r="C9">
        <v>5</v>
      </c>
      <c r="D9">
        <v>2</v>
      </c>
      <c r="E9" s="1">
        <v>44306</v>
      </c>
      <c r="F9">
        <v>8</v>
      </c>
      <c r="G9" s="1">
        <v>44336</v>
      </c>
      <c r="H9" s="1">
        <v>44350</v>
      </c>
      <c r="I9">
        <v>1</v>
      </c>
      <c r="J9">
        <v>4</v>
      </c>
      <c r="K9">
        <v>1459</v>
      </c>
      <c r="L9">
        <v>8</v>
      </c>
      <c r="M9">
        <v>1800</v>
      </c>
      <c r="N9">
        <v>2</v>
      </c>
      <c r="O9">
        <v>1</v>
      </c>
      <c r="P9">
        <v>4</v>
      </c>
      <c r="Q9">
        <v>4</v>
      </c>
      <c r="R9">
        <v>4</v>
      </c>
      <c r="S9">
        <v>0</v>
      </c>
      <c r="T9">
        <v>5</v>
      </c>
      <c r="U9">
        <v>155</v>
      </c>
      <c r="V9">
        <v>977.70000000000016</v>
      </c>
      <c r="W9">
        <v>6</v>
      </c>
      <c r="X9">
        <v>3259</v>
      </c>
      <c r="Y9">
        <f t="shared" si="0"/>
        <v>2932.7000000000003</v>
      </c>
      <c r="Z9">
        <f t="shared" si="1"/>
        <v>326.29999999999973</v>
      </c>
      <c r="AA9">
        <f t="shared" si="2"/>
        <v>14</v>
      </c>
      <c r="AB9" t="str">
        <f t="shared" si="3"/>
        <v>4458</v>
      </c>
      <c r="AC9" t="str">
        <f t="shared" si="4"/>
        <v>4141518</v>
      </c>
    </row>
    <row r="10" spans="1:29" x14ac:dyDescent="0.3">
      <c r="A10">
        <f>_xlfn.XLOOKUP(E10,Date_Dim!B:B,Date_Dim!A:A)</f>
        <v>9</v>
      </c>
      <c r="B10">
        <v>2024</v>
      </c>
      <c r="C10">
        <v>6</v>
      </c>
      <c r="D10">
        <v>2</v>
      </c>
      <c r="E10" s="1">
        <v>44811</v>
      </c>
      <c r="F10">
        <v>9</v>
      </c>
      <c r="G10" s="1">
        <v>44841</v>
      </c>
      <c r="H10" s="1">
        <v>44897</v>
      </c>
      <c r="I10">
        <v>5</v>
      </c>
      <c r="J10">
        <v>3</v>
      </c>
      <c r="K10">
        <v>2699</v>
      </c>
      <c r="L10">
        <v>3</v>
      </c>
      <c r="M10">
        <v>3500</v>
      </c>
      <c r="N10">
        <v>12</v>
      </c>
      <c r="O10">
        <v>1</v>
      </c>
      <c r="P10">
        <v>1</v>
      </c>
      <c r="Q10">
        <v>1</v>
      </c>
      <c r="R10">
        <v>1</v>
      </c>
      <c r="S10">
        <v>0</v>
      </c>
      <c r="T10">
        <v>6</v>
      </c>
      <c r="U10">
        <v>120</v>
      </c>
      <c r="V10">
        <v>2479.6000000000004</v>
      </c>
      <c r="W10">
        <v>1</v>
      </c>
      <c r="X10">
        <v>6199</v>
      </c>
      <c r="Y10">
        <f t="shared" si="0"/>
        <v>6099.6</v>
      </c>
      <c r="Z10">
        <f t="shared" si="1"/>
        <v>99.399999999999636</v>
      </c>
      <c r="AA10">
        <f t="shared" si="2"/>
        <v>56</v>
      </c>
      <c r="AB10" t="str">
        <f t="shared" si="3"/>
        <v>1369</v>
      </c>
      <c r="AC10" t="str">
        <f t="shared" si="4"/>
        <v>1131619</v>
      </c>
    </row>
    <row r="11" spans="1:29" x14ac:dyDescent="0.3">
      <c r="A11">
        <f>_xlfn.XLOOKUP(E11,Date_Dim!B:B,Date_Dim!A:A)</f>
        <v>10</v>
      </c>
      <c r="B11">
        <v>2021</v>
      </c>
      <c r="C11">
        <v>6</v>
      </c>
      <c r="D11">
        <v>2</v>
      </c>
      <c r="E11" s="1">
        <v>44625</v>
      </c>
      <c r="F11">
        <v>6</v>
      </c>
      <c r="G11" s="1">
        <v>44655</v>
      </c>
      <c r="H11" s="1">
        <v>44697</v>
      </c>
      <c r="I11">
        <v>4</v>
      </c>
      <c r="J11">
        <v>4</v>
      </c>
      <c r="K11">
        <v>1999</v>
      </c>
      <c r="L11">
        <v>6</v>
      </c>
      <c r="M11">
        <v>3000</v>
      </c>
      <c r="N11">
        <v>9</v>
      </c>
      <c r="O11">
        <v>1</v>
      </c>
      <c r="P11">
        <v>3</v>
      </c>
      <c r="Q11">
        <v>3</v>
      </c>
      <c r="R11">
        <v>3</v>
      </c>
      <c r="S11">
        <v>2000</v>
      </c>
      <c r="T11">
        <v>4</v>
      </c>
      <c r="U11">
        <v>135</v>
      </c>
      <c r="V11">
        <v>2099.7000000000003</v>
      </c>
      <c r="W11">
        <v>7</v>
      </c>
      <c r="X11">
        <v>6999</v>
      </c>
      <c r="Y11">
        <f t="shared" si="0"/>
        <v>5234.7000000000007</v>
      </c>
      <c r="Z11">
        <f t="shared" si="1"/>
        <v>1764.2999999999993</v>
      </c>
      <c r="AA11">
        <f t="shared" si="2"/>
        <v>42</v>
      </c>
      <c r="AB11" t="str">
        <f t="shared" si="3"/>
        <v>3446</v>
      </c>
      <c r="AC11" t="str">
        <f t="shared" si="4"/>
        <v>3141416</v>
      </c>
    </row>
    <row r="12" spans="1:29" x14ac:dyDescent="0.3">
      <c r="A12">
        <f>_xlfn.XLOOKUP(E12,Date_Dim!B:B,Date_Dim!A:A)</f>
        <v>11</v>
      </c>
      <c r="B12">
        <v>2022</v>
      </c>
      <c r="C12">
        <v>7</v>
      </c>
      <c r="D12">
        <v>2</v>
      </c>
      <c r="E12" s="1">
        <v>45107</v>
      </c>
      <c r="F12">
        <v>10</v>
      </c>
      <c r="G12" s="1">
        <v>45137</v>
      </c>
      <c r="H12" s="1">
        <v>45151</v>
      </c>
      <c r="I12">
        <v>1</v>
      </c>
      <c r="J12">
        <v>5</v>
      </c>
      <c r="K12">
        <v>1459</v>
      </c>
      <c r="L12">
        <v>9</v>
      </c>
      <c r="M12">
        <v>1000</v>
      </c>
      <c r="N12">
        <v>4</v>
      </c>
      <c r="O12">
        <v>1</v>
      </c>
      <c r="P12">
        <v>4</v>
      </c>
      <c r="Q12">
        <v>4</v>
      </c>
      <c r="R12">
        <v>4</v>
      </c>
      <c r="S12">
        <v>0</v>
      </c>
      <c r="T12">
        <v>5</v>
      </c>
      <c r="U12">
        <v>155</v>
      </c>
      <c r="V12">
        <v>737.70000000000016</v>
      </c>
      <c r="W12">
        <v>8</v>
      </c>
      <c r="X12">
        <v>2459</v>
      </c>
      <c r="Y12">
        <f t="shared" si="0"/>
        <v>1892.7000000000003</v>
      </c>
      <c r="Z12">
        <f t="shared" si="1"/>
        <v>566.29999999999973</v>
      </c>
      <c r="AA12">
        <f t="shared" si="2"/>
        <v>14</v>
      </c>
      <c r="AB12" t="str">
        <f t="shared" si="3"/>
        <v>45510</v>
      </c>
      <c r="AC12" t="str">
        <f t="shared" si="4"/>
        <v>41515110</v>
      </c>
    </row>
    <row r="13" spans="1:29" x14ac:dyDescent="0.3">
      <c r="A13">
        <f>_xlfn.XLOOKUP(E13,Date_Dim!B:B,Date_Dim!A:A)</f>
        <v>12</v>
      </c>
      <c r="B13">
        <v>2021</v>
      </c>
      <c r="C13">
        <v>8</v>
      </c>
      <c r="D13">
        <v>2</v>
      </c>
      <c r="E13" s="1">
        <v>44780</v>
      </c>
      <c r="F13">
        <v>6</v>
      </c>
      <c r="G13" s="1">
        <v>44810</v>
      </c>
      <c r="H13" s="1">
        <v>44852</v>
      </c>
      <c r="I13">
        <v>4</v>
      </c>
      <c r="J13">
        <v>4</v>
      </c>
      <c r="K13">
        <v>1999</v>
      </c>
      <c r="L13">
        <v>6</v>
      </c>
      <c r="M13">
        <v>3000</v>
      </c>
      <c r="N13">
        <v>9</v>
      </c>
      <c r="O13">
        <v>1</v>
      </c>
      <c r="P13">
        <v>3</v>
      </c>
      <c r="Q13">
        <v>3</v>
      </c>
      <c r="R13">
        <v>3</v>
      </c>
      <c r="S13">
        <v>2000</v>
      </c>
      <c r="T13">
        <v>4</v>
      </c>
      <c r="U13">
        <v>135</v>
      </c>
      <c r="V13">
        <v>2099.7000000000003</v>
      </c>
      <c r="W13">
        <v>7</v>
      </c>
      <c r="X13">
        <v>6999</v>
      </c>
      <c r="Y13">
        <f t="shared" si="0"/>
        <v>5234.7000000000007</v>
      </c>
      <c r="Z13">
        <f t="shared" si="1"/>
        <v>1764.2999999999993</v>
      </c>
      <c r="AA13">
        <f t="shared" si="2"/>
        <v>42</v>
      </c>
      <c r="AB13" t="str">
        <f t="shared" si="3"/>
        <v>3446</v>
      </c>
      <c r="AC13" t="str">
        <f t="shared" si="4"/>
        <v>3141416</v>
      </c>
    </row>
    <row r="14" spans="1:29" x14ac:dyDescent="0.3">
      <c r="A14">
        <f>_xlfn.XLOOKUP(E14,Date_Dim!B:B,Date_Dim!A:A)</f>
        <v>13</v>
      </c>
      <c r="B14">
        <v>2021</v>
      </c>
      <c r="C14">
        <v>9</v>
      </c>
      <c r="D14">
        <v>2</v>
      </c>
      <c r="E14" s="1">
        <v>45548</v>
      </c>
      <c r="F14">
        <v>11</v>
      </c>
      <c r="G14" s="1">
        <v>45578</v>
      </c>
      <c r="H14" s="1">
        <v>45592</v>
      </c>
      <c r="I14">
        <v>1</v>
      </c>
      <c r="J14">
        <v>2</v>
      </c>
      <c r="K14">
        <v>1459</v>
      </c>
      <c r="L14">
        <v>10</v>
      </c>
      <c r="M14">
        <v>2000</v>
      </c>
      <c r="N14">
        <v>6</v>
      </c>
      <c r="O14">
        <v>1</v>
      </c>
      <c r="P14">
        <v>2</v>
      </c>
      <c r="Q14">
        <v>2</v>
      </c>
      <c r="R14">
        <v>2</v>
      </c>
      <c r="S14">
        <v>6000</v>
      </c>
      <c r="T14">
        <v>2</v>
      </c>
      <c r="U14">
        <v>175</v>
      </c>
      <c r="V14">
        <v>3783.6000000000004</v>
      </c>
      <c r="W14">
        <v>3</v>
      </c>
      <c r="X14">
        <v>9459</v>
      </c>
      <c r="Y14">
        <f t="shared" si="0"/>
        <v>5958.6</v>
      </c>
      <c r="Z14">
        <f t="shared" si="1"/>
        <v>3500.3999999999996</v>
      </c>
      <c r="AA14">
        <f t="shared" si="2"/>
        <v>14</v>
      </c>
      <c r="AB14" t="str">
        <f t="shared" si="3"/>
        <v>22211</v>
      </c>
      <c r="AC14" t="str">
        <f t="shared" si="4"/>
        <v>21212111</v>
      </c>
    </row>
    <row r="15" spans="1:29" x14ac:dyDescent="0.3">
      <c r="A15">
        <f>_xlfn.XLOOKUP(E15,Date_Dim!B:B,Date_Dim!A:A)</f>
        <v>14</v>
      </c>
      <c r="B15">
        <v>2023</v>
      </c>
      <c r="C15">
        <v>10</v>
      </c>
      <c r="D15">
        <v>2</v>
      </c>
      <c r="E15" s="1">
        <v>43966</v>
      </c>
      <c r="F15">
        <v>6</v>
      </c>
      <c r="G15" s="1">
        <v>43996</v>
      </c>
      <c r="H15" s="1">
        <v>44038</v>
      </c>
      <c r="I15">
        <v>4</v>
      </c>
      <c r="J15">
        <v>4</v>
      </c>
      <c r="K15">
        <v>1999</v>
      </c>
      <c r="L15">
        <v>6</v>
      </c>
      <c r="M15">
        <v>3000</v>
      </c>
      <c r="N15">
        <v>9</v>
      </c>
      <c r="O15">
        <v>1</v>
      </c>
      <c r="P15">
        <v>4</v>
      </c>
      <c r="Q15">
        <v>4</v>
      </c>
      <c r="R15">
        <v>4</v>
      </c>
      <c r="S15">
        <v>0</v>
      </c>
      <c r="T15">
        <v>4</v>
      </c>
      <c r="U15">
        <v>135</v>
      </c>
      <c r="V15">
        <v>1999.6000000000001</v>
      </c>
      <c r="W15">
        <v>5</v>
      </c>
      <c r="X15">
        <v>4999</v>
      </c>
      <c r="Y15">
        <f t="shared" si="0"/>
        <v>5134.6000000000004</v>
      </c>
      <c r="Z15">
        <f t="shared" si="1"/>
        <v>-135.60000000000036</v>
      </c>
      <c r="AA15">
        <f t="shared" si="2"/>
        <v>42</v>
      </c>
      <c r="AB15" t="str">
        <f t="shared" si="3"/>
        <v>4446</v>
      </c>
      <c r="AC15" t="str">
        <f t="shared" si="4"/>
        <v>4141416</v>
      </c>
    </row>
    <row r="16" spans="1:29" x14ac:dyDescent="0.3">
      <c r="A16">
        <f>_xlfn.XLOOKUP(E16,Date_Dim!B:B,Date_Dim!A:A)</f>
        <v>15</v>
      </c>
      <c r="B16">
        <v>2021</v>
      </c>
      <c r="C16">
        <v>11</v>
      </c>
      <c r="D16">
        <v>2</v>
      </c>
      <c r="E16" s="1">
        <v>44671</v>
      </c>
      <c r="F16">
        <v>12</v>
      </c>
      <c r="G16" s="1">
        <v>44701</v>
      </c>
      <c r="H16" s="1">
        <v>44722</v>
      </c>
      <c r="I16">
        <v>2</v>
      </c>
      <c r="J16">
        <v>5</v>
      </c>
      <c r="K16">
        <v>1559</v>
      </c>
      <c r="L16">
        <v>9</v>
      </c>
      <c r="M16">
        <v>2000</v>
      </c>
      <c r="N16">
        <v>4</v>
      </c>
      <c r="O16">
        <v>1</v>
      </c>
      <c r="P16">
        <v>4</v>
      </c>
      <c r="Q16">
        <v>4</v>
      </c>
      <c r="R16">
        <v>4</v>
      </c>
      <c r="S16">
        <v>0</v>
      </c>
      <c r="T16">
        <v>5</v>
      </c>
      <c r="U16">
        <v>155</v>
      </c>
      <c r="V16">
        <v>1067.7</v>
      </c>
      <c r="W16">
        <v>8</v>
      </c>
      <c r="X16">
        <v>3559</v>
      </c>
      <c r="Y16">
        <f t="shared" si="0"/>
        <v>3222.7</v>
      </c>
      <c r="Z16">
        <f t="shared" si="1"/>
        <v>336.30000000000018</v>
      </c>
      <c r="AA16">
        <f t="shared" si="2"/>
        <v>21</v>
      </c>
      <c r="AB16" t="str">
        <f t="shared" si="3"/>
        <v>45512</v>
      </c>
      <c r="AC16" t="str">
        <f t="shared" si="4"/>
        <v>41515112</v>
      </c>
    </row>
    <row r="17" spans="1:29" x14ac:dyDescent="0.3">
      <c r="A17">
        <f>_xlfn.XLOOKUP(E17,Date_Dim!B:B,Date_Dim!A:A)</f>
        <v>16</v>
      </c>
      <c r="B17">
        <v>2024</v>
      </c>
      <c r="C17">
        <v>11</v>
      </c>
      <c r="D17">
        <v>2</v>
      </c>
      <c r="E17" s="1">
        <v>45557</v>
      </c>
      <c r="F17">
        <v>6</v>
      </c>
      <c r="G17" s="1">
        <v>45587</v>
      </c>
      <c r="H17" s="1">
        <v>45629</v>
      </c>
      <c r="I17">
        <v>4</v>
      </c>
      <c r="J17">
        <v>4</v>
      </c>
      <c r="K17">
        <v>1999</v>
      </c>
      <c r="L17">
        <v>6</v>
      </c>
      <c r="M17">
        <v>3000</v>
      </c>
      <c r="N17">
        <v>9</v>
      </c>
      <c r="O17">
        <v>1</v>
      </c>
      <c r="P17">
        <v>4</v>
      </c>
      <c r="Q17">
        <v>4</v>
      </c>
      <c r="R17">
        <v>4</v>
      </c>
      <c r="S17">
        <v>0</v>
      </c>
      <c r="T17">
        <v>4</v>
      </c>
      <c r="U17">
        <v>135</v>
      </c>
      <c r="V17">
        <v>1499.7000000000003</v>
      </c>
      <c r="W17">
        <v>5</v>
      </c>
      <c r="X17">
        <v>4999</v>
      </c>
      <c r="Y17">
        <f t="shared" si="0"/>
        <v>4634.7000000000007</v>
      </c>
      <c r="Z17">
        <f t="shared" si="1"/>
        <v>364.29999999999927</v>
      </c>
      <c r="AA17">
        <f t="shared" si="2"/>
        <v>42</v>
      </c>
      <c r="AB17" t="str">
        <f t="shared" si="3"/>
        <v>4446</v>
      </c>
      <c r="AC17" t="str">
        <f t="shared" si="4"/>
        <v>4141416</v>
      </c>
    </row>
    <row r="18" spans="1:29" x14ac:dyDescent="0.3">
      <c r="A18">
        <f>_xlfn.XLOOKUP(E18,Date_Dim!B:B,Date_Dim!A:A)</f>
        <v>17</v>
      </c>
      <c r="B18">
        <v>2021</v>
      </c>
      <c r="C18">
        <v>12</v>
      </c>
      <c r="D18">
        <v>2</v>
      </c>
      <c r="E18" s="1">
        <v>45322</v>
      </c>
      <c r="F18">
        <v>13</v>
      </c>
      <c r="G18" s="1">
        <v>45352</v>
      </c>
      <c r="H18" s="1">
        <v>45373</v>
      </c>
      <c r="I18">
        <v>2</v>
      </c>
      <c r="J18">
        <v>6</v>
      </c>
      <c r="K18">
        <v>1559</v>
      </c>
      <c r="L18">
        <v>11</v>
      </c>
      <c r="M18">
        <v>2500</v>
      </c>
      <c r="N18">
        <v>7</v>
      </c>
      <c r="O18">
        <v>1</v>
      </c>
      <c r="P18">
        <v>2</v>
      </c>
      <c r="Q18">
        <v>2</v>
      </c>
      <c r="R18">
        <v>2</v>
      </c>
      <c r="S18">
        <v>6000</v>
      </c>
      <c r="T18">
        <v>7</v>
      </c>
      <c r="U18">
        <v>25</v>
      </c>
      <c r="V18">
        <v>3017.7000000000003</v>
      </c>
      <c r="W18">
        <v>3</v>
      </c>
      <c r="X18">
        <v>10059</v>
      </c>
      <c r="Y18">
        <f t="shared" si="0"/>
        <v>5542.7000000000007</v>
      </c>
      <c r="Z18">
        <f t="shared" si="1"/>
        <v>4516.2999999999993</v>
      </c>
      <c r="AA18">
        <f t="shared" si="2"/>
        <v>21</v>
      </c>
      <c r="AB18" t="str">
        <f t="shared" si="3"/>
        <v>26713</v>
      </c>
      <c r="AC18" t="str">
        <f t="shared" si="4"/>
        <v>21617113</v>
      </c>
    </row>
    <row r="19" spans="1:29" x14ac:dyDescent="0.3">
      <c r="A19">
        <f>_xlfn.XLOOKUP(E19,Date_Dim!B:B,Date_Dim!A:A)</f>
        <v>18</v>
      </c>
      <c r="B19">
        <v>2022</v>
      </c>
      <c r="C19">
        <v>13</v>
      </c>
      <c r="D19">
        <v>2</v>
      </c>
      <c r="E19" s="1">
        <v>44458</v>
      </c>
      <c r="F19">
        <v>14</v>
      </c>
      <c r="G19" s="1">
        <v>44488</v>
      </c>
      <c r="H19" s="1">
        <v>44516</v>
      </c>
      <c r="I19">
        <v>3</v>
      </c>
      <c r="J19">
        <v>1</v>
      </c>
      <c r="K19">
        <v>1689</v>
      </c>
      <c r="L19">
        <v>12</v>
      </c>
      <c r="M19">
        <v>800</v>
      </c>
      <c r="N19">
        <v>11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0</v>
      </c>
      <c r="V19">
        <v>746.70000000000016</v>
      </c>
      <c r="W19">
        <v>1</v>
      </c>
      <c r="X19">
        <v>2489</v>
      </c>
      <c r="Y19">
        <f t="shared" si="0"/>
        <v>1546.7000000000003</v>
      </c>
      <c r="Z19">
        <f t="shared" si="1"/>
        <v>942.29999999999973</v>
      </c>
      <c r="AA19">
        <f t="shared" si="2"/>
        <v>28</v>
      </c>
      <c r="AB19" t="str">
        <f t="shared" si="3"/>
        <v>11114</v>
      </c>
      <c r="AC19" t="str">
        <f t="shared" si="4"/>
        <v>11111114</v>
      </c>
    </row>
    <row r="20" spans="1:29" x14ac:dyDescent="0.3">
      <c r="A20">
        <f>_xlfn.XLOOKUP(E20,Date_Dim!B:B,Date_Dim!A:A)</f>
        <v>19</v>
      </c>
      <c r="B20">
        <v>2024</v>
      </c>
      <c r="C20">
        <v>13</v>
      </c>
      <c r="D20">
        <v>2</v>
      </c>
      <c r="E20" s="1">
        <v>45469</v>
      </c>
      <c r="F20">
        <v>5</v>
      </c>
      <c r="G20" s="1">
        <v>45499</v>
      </c>
      <c r="H20" s="1">
        <v>45555</v>
      </c>
      <c r="I20">
        <v>5</v>
      </c>
      <c r="J20">
        <v>4</v>
      </c>
      <c r="K20">
        <v>2699</v>
      </c>
      <c r="L20">
        <v>5</v>
      </c>
      <c r="M20">
        <v>5000</v>
      </c>
      <c r="N20">
        <v>8</v>
      </c>
      <c r="O20">
        <v>1</v>
      </c>
      <c r="P20">
        <v>3</v>
      </c>
      <c r="Q20">
        <v>3</v>
      </c>
      <c r="R20">
        <v>3</v>
      </c>
      <c r="S20">
        <v>2000</v>
      </c>
      <c r="T20">
        <v>4</v>
      </c>
      <c r="U20">
        <v>135</v>
      </c>
      <c r="V20">
        <v>3879.6000000000004</v>
      </c>
      <c r="W20">
        <v>7</v>
      </c>
      <c r="X20">
        <v>9699</v>
      </c>
      <c r="Y20">
        <f t="shared" si="0"/>
        <v>9014.6</v>
      </c>
      <c r="Z20">
        <f t="shared" si="1"/>
        <v>684.39999999999964</v>
      </c>
      <c r="AA20">
        <f t="shared" si="2"/>
        <v>56</v>
      </c>
      <c r="AB20" t="str">
        <f t="shared" si="3"/>
        <v>3445</v>
      </c>
      <c r="AC20" t="str">
        <f t="shared" si="4"/>
        <v>3141415</v>
      </c>
    </row>
    <row r="21" spans="1:29" x14ac:dyDescent="0.3">
      <c r="A21">
        <f>_xlfn.XLOOKUP(E21,Date_Dim!B:B,Date_Dim!A:A)</f>
        <v>20</v>
      </c>
      <c r="B21">
        <v>2022</v>
      </c>
      <c r="C21">
        <v>14</v>
      </c>
      <c r="D21">
        <v>2</v>
      </c>
      <c r="E21" s="1">
        <v>45087</v>
      </c>
      <c r="F21">
        <v>15</v>
      </c>
      <c r="G21" s="1">
        <v>45117</v>
      </c>
      <c r="H21" s="1">
        <v>45145</v>
      </c>
      <c r="I21">
        <v>3</v>
      </c>
      <c r="J21">
        <v>2</v>
      </c>
      <c r="K21">
        <v>1689</v>
      </c>
      <c r="L21">
        <v>10</v>
      </c>
      <c r="M21">
        <v>2500</v>
      </c>
      <c r="N21">
        <v>6</v>
      </c>
      <c r="O21">
        <v>1</v>
      </c>
      <c r="P21">
        <v>2</v>
      </c>
      <c r="Q21">
        <v>2</v>
      </c>
      <c r="R21">
        <v>2</v>
      </c>
      <c r="S21">
        <v>6000</v>
      </c>
      <c r="T21">
        <v>2</v>
      </c>
      <c r="U21">
        <v>175</v>
      </c>
      <c r="V21">
        <v>4075.6000000000004</v>
      </c>
      <c r="W21">
        <v>3</v>
      </c>
      <c r="X21">
        <v>10189</v>
      </c>
      <c r="Y21">
        <f t="shared" si="0"/>
        <v>6750.6</v>
      </c>
      <c r="Z21">
        <f t="shared" si="1"/>
        <v>3438.3999999999996</v>
      </c>
      <c r="AA21">
        <f t="shared" si="2"/>
        <v>28</v>
      </c>
      <c r="AB21" t="str">
        <f t="shared" si="3"/>
        <v>22215</v>
      </c>
      <c r="AC21" t="str">
        <f t="shared" si="4"/>
        <v>21212115</v>
      </c>
    </row>
    <row r="22" spans="1:29" x14ac:dyDescent="0.3">
      <c r="A22">
        <f>_xlfn.XLOOKUP(E22,Date_Dim!B:B,Date_Dim!A:A)</f>
        <v>21</v>
      </c>
      <c r="B22">
        <v>2024</v>
      </c>
      <c r="C22">
        <v>14</v>
      </c>
      <c r="D22">
        <v>2</v>
      </c>
      <c r="E22" s="1">
        <v>44855</v>
      </c>
      <c r="F22">
        <v>5</v>
      </c>
      <c r="G22" s="1">
        <v>44885</v>
      </c>
      <c r="H22" s="1">
        <v>44941</v>
      </c>
      <c r="I22">
        <v>5</v>
      </c>
      <c r="J22">
        <v>4</v>
      </c>
      <c r="K22">
        <v>2699</v>
      </c>
      <c r="L22">
        <v>5</v>
      </c>
      <c r="M22">
        <v>5000</v>
      </c>
      <c r="N22">
        <v>8</v>
      </c>
      <c r="O22">
        <v>1</v>
      </c>
      <c r="P22">
        <v>5</v>
      </c>
      <c r="Q22">
        <v>5</v>
      </c>
      <c r="R22">
        <v>5</v>
      </c>
      <c r="S22">
        <v>8000</v>
      </c>
      <c r="T22">
        <v>3</v>
      </c>
      <c r="U22">
        <v>125</v>
      </c>
      <c r="V22">
        <v>4709.7000000000007</v>
      </c>
      <c r="W22">
        <v>4</v>
      </c>
      <c r="X22">
        <v>15699</v>
      </c>
      <c r="Y22">
        <f t="shared" si="0"/>
        <v>9834.7000000000007</v>
      </c>
      <c r="Z22">
        <f t="shared" si="1"/>
        <v>5864.2999999999993</v>
      </c>
      <c r="AA22">
        <f t="shared" si="2"/>
        <v>56</v>
      </c>
      <c r="AB22" t="str">
        <f t="shared" si="3"/>
        <v>5435</v>
      </c>
      <c r="AC22" t="str">
        <f t="shared" si="4"/>
        <v>5141315</v>
      </c>
    </row>
    <row r="23" spans="1:29" x14ac:dyDescent="0.3">
      <c r="A23">
        <f>_xlfn.XLOOKUP(E23,Date_Dim!B:B,Date_Dim!A:A)</f>
        <v>22</v>
      </c>
      <c r="B23">
        <v>2022</v>
      </c>
      <c r="C23">
        <v>15</v>
      </c>
      <c r="D23">
        <v>2</v>
      </c>
      <c r="E23" s="1">
        <v>44260</v>
      </c>
      <c r="F23">
        <v>16</v>
      </c>
      <c r="G23" s="1">
        <v>44290</v>
      </c>
      <c r="H23" s="1">
        <v>44346</v>
      </c>
      <c r="I23">
        <v>5</v>
      </c>
      <c r="J23">
        <v>6</v>
      </c>
      <c r="K23">
        <v>2699</v>
      </c>
      <c r="L23">
        <v>11</v>
      </c>
      <c r="M23">
        <v>3000</v>
      </c>
      <c r="N23">
        <v>7</v>
      </c>
      <c r="O23">
        <v>1</v>
      </c>
      <c r="P23">
        <v>2</v>
      </c>
      <c r="Q23">
        <v>2</v>
      </c>
      <c r="R23">
        <v>2</v>
      </c>
      <c r="S23">
        <v>6000</v>
      </c>
      <c r="T23">
        <v>7</v>
      </c>
      <c r="U23">
        <v>25</v>
      </c>
      <c r="V23">
        <v>4679.6000000000004</v>
      </c>
      <c r="W23">
        <v>3</v>
      </c>
      <c r="X23">
        <v>11699</v>
      </c>
      <c r="Y23">
        <f t="shared" si="0"/>
        <v>7704.6</v>
      </c>
      <c r="Z23">
        <f t="shared" si="1"/>
        <v>3994.3999999999996</v>
      </c>
      <c r="AA23">
        <f t="shared" si="2"/>
        <v>56</v>
      </c>
      <c r="AB23" t="str">
        <f t="shared" si="3"/>
        <v>26716</v>
      </c>
      <c r="AC23" t="str">
        <f t="shared" si="4"/>
        <v>21617116</v>
      </c>
    </row>
    <row r="24" spans="1:29" x14ac:dyDescent="0.3">
      <c r="A24">
        <f>_xlfn.XLOOKUP(E24,Date_Dim!B:B,Date_Dim!A:A)</f>
        <v>23</v>
      </c>
      <c r="B24">
        <v>2024</v>
      </c>
      <c r="C24">
        <v>15</v>
      </c>
      <c r="D24">
        <v>2</v>
      </c>
      <c r="E24" s="1">
        <v>44392</v>
      </c>
      <c r="F24">
        <v>6</v>
      </c>
      <c r="G24" s="1">
        <v>44422</v>
      </c>
      <c r="H24" s="1">
        <v>44464</v>
      </c>
      <c r="I24">
        <v>4</v>
      </c>
      <c r="J24">
        <v>4</v>
      </c>
      <c r="K24">
        <v>1999</v>
      </c>
      <c r="L24">
        <v>6</v>
      </c>
      <c r="M24">
        <v>3000</v>
      </c>
      <c r="N24">
        <v>9</v>
      </c>
      <c r="O24">
        <v>1</v>
      </c>
      <c r="P24">
        <v>3</v>
      </c>
      <c r="Q24">
        <v>3</v>
      </c>
      <c r="R24">
        <v>3</v>
      </c>
      <c r="S24">
        <v>2000</v>
      </c>
      <c r="T24">
        <v>4</v>
      </c>
      <c r="U24">
        <v>135</v>
      </c>
      <c r="V24">
        <v>2799.6000000000004</v>
      </c>
      <c r="W24">
        <v>7</v>
      </c>
      <c r="X24">
        <v>6999</v>
      </c>
      <c r="Y24">
        <f t="shared" si="0"/>
        <v>5934.6</v>
      </c>
      <c r="Z24">
        <f t="shared" si="1"/>
        <v>1064.3999999999996</v>
      </c>
      <c r="AA24">
        <f t="shared" si="2"/>
        <v>42</v>
      </c>
      <c r="AB24" t="str">
        <f t="shared" si="3"/>
        <v>3446</v>
      </c>
      <c r="AC24" t="str">
        <f t="shared" si="4"/>
        <v>3141416</v>
      </c>
    </row>
    <row r="25" spans="1:29" x14ac:dyDescent="0.3">
      <c r="A25">
        <f>_xlfn.XLOOKUP(E25,Date_Dim!B:B,Date_Dim!A:A)</f>
        <v>24</v>
      </c>
      <c r="B25">
        <v>2022</v>
      </c>
      <c r="C25">
        <v>16</v>
      </c>
      <c r="D25">
        <v>2</v>
      </c>
      <c r="E25" s="1">
        <v>45151</v>
      </c>
      <c r="F25">
        <v>3</v>
      </c>
      <c r="G25" s="1">
        <v>45181</v>
      </c>
      <c r="H25" s="1">
        <v>45209</v>
      </c>
      <c r="I25">
        <v>3</v>
      </c>
      <c r="J25">
        <v>3</v>
      </c>
      <c r="K25">
        <v>1689</v>
      </c>
      <c r="L25">
        <v>3</v>
      </c>
      <c r="M25">
        <v>2000</v>
      </c>
      <c r="N25">
        <v>12</v>
      </c>
      <c r="O25">
        <v>1</v>
      </c>
      <c r="P25">
        <v>1</v>
      </c>
      <c r="Q25">
        <v>1</v>
      </c>
      <c r="R25">
        <v>1</v>
      </c>
      <c r="S25">
        <v>0</v>
      </c>
      <c r="T25">
        <v>2</v>
      </c>
      <c r="U25">
        <v>175</v>
      </c>
      <c r="V25">
        <v>1106.7000000000003</v>
      </c>
      <c r="W25">
        <v>2</v>
      </c>
      <c r="X25">
        <v>3689</v>
      </c>
      <c r="Y25">
        <f t="shared" si="0"/>
        <v>3281.7000000000003</v>
      </c>
      <c r="Z25">
        <f t="shared" si="1"/>
        <v>407.29999999999973</v>
      </c>
      <c r="AA25">
        <f t="shared" si="2"/>
        <v>28</v>
      </c>
      <c r="AB25" t="str">
        <f t="shared" si="3"/>
        <v>1323</v>
      </c>
      <c r="AC25" t="str">
        <f t="shared" si="4"/>
        <v>1131213</v>
      </c>
    </row>
    <row r="26" spans="1:29" x14ac:dyDescent="0.3">
      <c r="A26">
        <f>_xlfn.XLOOKUP(E26,Date_Dim!B:B,Date_Dim!A:A)</f>
        <v>25</v>
      </c>
      <c r="B26">
        <v>2022</v>
      </c>
      <c r="C26">
        <v>17</v>
      </c>
      <c r="D26">
        <v>2</v>
      </c>
      <c r="E26" s="1">
        <v>45058</v>
      </c>
      <c r="F26">
        <v>17</v>
      </c>
      <c r="G26" s="1">
        <v>45088</v>
      </c>
      <c r="H26" s="1">
        <v>45130</v>
      </c>
      <c r="I26">
        <v>4</v>
      </c>
      <c r="J26">
        <v>1</v>
      </c>
      <c r="K26">
        <v>1999</v>
      </c>
      <c r="L26">
        <v>12</v>
      </c>
      <c r="M26">
        <v>1500</v>
      </c>
      <c r="N26">
        <v>11</v>
      </c>
      <c r="O26">
        <v>1</v>
      </c>
      <c r="P26">
        <v>4</v>
      </c>
      <c r="Q26">
        <v>4</v>
      </c>
      <c r="R26">
        <v>4</v>
      </c>
      <c r="S26">
        <v>0</v>
      </c>
      <c r="T26">
        <v>1</v>
      </c>
      <c r="U26">
        <v>0</v>
      </c>
      <c r="V26">
        <v>1399.6000000000001</v>
      </c>
      <c r="W26">
        <v>1</v>
      </c>
      <c r="X26">
        <v>3499</v>
      </c>
      <c r="Y26">
        <f t="shared" si="0"/>
        <v>2899.6000000000004</v>
      </c>
      <c r="Z26">
        <f t="shared" si="1"/>
        <v>599.39999999999964</v>
      </c>
      <c r="AA26">
        <f t="shared" si="2"/>
        <v>42</v>
      </c>
      <c r="AB26" t="str">
        <f t="shared" si="3"/>
        <v>41117</v>
      </c>
      <c r="AC26" t="str">
        <f t="shared" si="4"/>
        <v>41111117</v>
      </c>
    </row>
    <row r="27" spans="1:29" x14ac:dyDescent="0.3">
      <c r="A27">
        <f>_xlfn.XLOOKUP(E27,Date_Dim!B:B,Date_Dim!A:A)</f>
        <v>26</v>
      </c>
      <c r="B27">
        <v>2024</v>
      </c>
      <c r="C27">
        <v>17</v>
      </c>
      <c r="D27">
        <v>2</v>
      </c>
      <c r="E27" s="1">
        <v>45005</v>
      </c>
      <c r="F27">
        <v>5</v>
      </c>
      <c r="G27" s="1">
        <v>45035</v>
      </c>
      <c r="H27" s="1">
        <v>45091</v>
      </c>
      <c r="I27">
        <v>5</v>
      </c>
      <c r="J27">
        <v>4</v>
      </c>
      <c r="K27">
        <v>2699</v>
      </c>
      <c r="L27">
        <v>5</v>
      </c>
      <c r="M27">
        <v>5000</v>
      </c>
      <c r="N27">
        <v>8</v>
      </c>
      <c r="O27">
        <v>1</v>
      </c>
      <c r="P27">
        <v>3</v>
      </c>
      <c r="Q27">
        <v>3</v>
      </c>
      <c r="R27">
        <v>3</v>
      </c>
      <c r="S27">
        <v>2000</v>
      </c>
      <c r="T27">
        <v>3</v>
      </c>
      <c r="U27">
        <v>125</v>
      </c>
      <c r="V27">
        <v>3879.6000000000004</v>
      </c>
      <c r="W27">
        <v>4</v>
      </c>
      <c r="X27">
        <v>9699</v>
      </c>
      <c r="Y27">
        <f t="shared" si="0"/>
        <v>9004.6</v>
      </c>
      <c r="Z27">
        <f t="shared" si="1"/>
        <v>694.39999999999964</v>
      </c>
      <c r="AA27">
        <f t="shared" si="2"/>
        <v>56</v>
      </c>
      <c r="AB27" t="str">
        <f t="shared" si="3"/>
        <v>3435</v>
      </c>
      <c r="AC27" t="str">
        <f t="shared" si="4"/>
        <v>3141315</v>
      </c>
    </row>
    <row r="28" spans="1:29" x14ac:dyDescent="0.3">
      <c r="A28">
        <f>_xlfn.XLOOKUP(E28,Date_Dim!B:B,Date_Dim!A:A)</f>
        <v>27</v>
      </c>
      <c r="B28">
        <v>2023</v>
      </c>
      <c r="C28">
        <v>18</v>
      </c>
      <c r="D28">
        <v>2</v>
      </c>
      <c r="E28" s="1">
        <v>45145</v>
      </c>
      <c r="F28">
        <v>18</v>
      </c>
      <c r="G28" s="1">
        <v>45175</v>
      </c>
      <c r="H28" s="1">
        <v>45203</v>
      </c>
      <c r="I28">
        <v>3</v>
      </c>
      <c r="J28">
        <v>2</v>
      </c>
      <c r="K28">
        <v>1689</v>
      </c>
      <c r="L28">
        <v>10</v>
      </c>
      <c r="M28">
        <v>2500</v>
      </c>
      <c r="N28">
        <v>6</v>
      </c>
      <c r="O28">
        <v>1</v>
      </c>
      <c r="P28">
        <v>1</v>
      </c>
      <c r="Q28">
        <v>1</v>
      </c>
      <c r="R28">
        <v>1</v>
      </c>
      <c r="S28">
        <v>0</v>
      </c>
      <c r="T28">
        <v>2</v>
      </c>
      <c r="U28">
        <v>175</v>
      </c>
      <c r="V28">
        <v>1256.7000000000003</v>
      </c>
      <c r="W28">
        <v>3</v>
      </c>
      <c r="X28">
        <v>4189</v>
      </c>
      <c r="Y28">
        <f t="shared" si="0"/>
        <v>3931.7000000000003</v>
      </c>
      <c r="Z28">
        <f t="shared" si="1"/>
        <v>257.29999999999973</v>
      </c>
      <c r="AA28">
        <f t="shared" si="2"/>
        <v>28</v>
      </c>
      <c r="AB28" t="str">
        <f t="shared" si="3"/>
        <v>12218</v>
      </c>
      <c r="AC28" t="str">
        <f t="shared" si="4"/>
        <v>11212118</v>
      </c>
    </row>
    <row r="29" spans="1:29" x14ac:dyDescent="0.3">
      <c r="A29">
        <f>_xlfn.XLOOKUP(E29,Date_Dim!B:B,Date_Dim!A:A)</f>
        <v>28</v>
      </c>
      <c r="B29">
        <v>2020</v>
      </c>
      <c r="C29">
        <v>18</v>
      </c>
      <c r="D29">
        <v>2</v>
      </c>
      <c r="E29" s="1">
        <v>45029</v>
      </c>
      <c r="F29">
        <v>19</v>
      </c>
      <c r="G29" s="1">
        <v>45059</v>
      </c>
      <c r="H29" s="1">
        <v>45115</v>
      </c>
      <c r="I29">
        <v>5</v>
      </c>
      <c r="J29">
        <v>6</v>
      </c>
      <c r="K29">
        <v>2699</v>
      </c>
      <c r="L29">
        <v>8</v>
      </c>
      <c r="M29">
        <v>3200</v>
      </c>
      <c r="N29">
        <v>2</v>
      </c>
      <c r="O29">
        <v>1</v>
      </c>
      <c r="P29">
        <v>2</v>
      </c>
      <c r="Q29">
        <v>2</v>
      </c>
      <c r="R29">
        <v>2</v>
      </c>
      <c r="S29">
        <v>6000</v>
      </c>
      <c r="T29">
        <v>2</v>
      </c>
      <c r="U29">
        <v>175</v>
      </c>
      <c r="V29">
        <v>4759.6000000000004</v>
      </c>
      <c r="W29">
        <v>3</v>
      </c>
      <c r="X29">
        <v>11899</v>
      </c>
      <c r="Y29">
        <f t="shared" si="0"/>
        <v>8134.6</v>
      </c>
      <c r="Z29">
        <f t="shared" si="1"/>
        <v>3764.3999999999996</v>
      </c>
      <c r="AA29">
        <f t="shared" si="2"/>
        <v>56</v>
      </c>
      <c r="AB29" t="str">
        <f t="shared" si="3"/>
        <v>26219</v>
      </c>
      <c r="AC29" t="str">
        <f t="shared" si="4"/>
        <v>21612119</v>
      </c>
    </row>
    <row r="30" spans="1:29" x14ac:dyDescent="0.3">
      <c r="A30">
        <f>_xlfn.XLOOKUP(E30,Date_Dim!B:B,Date_Dim!A:A)</f>
        <v>29</v>
      </c>
      <c r="B30">
        <v>2022</v>
      </c>
      <c r="C30">
        <v>19</v>
      </c>
      <c r="D30">
        <v>2</v>
      </c>
      <c r="E30" s="1">
        <v>44683</v>
      </c>
      <c r="F30">
        <v>6</v>
      </c>
      <c r="G30" s="1">
        <v>44713</v>
      </c>
      <c r="H30" s="1">
        <v>44755</v>
      </c>
      <c r="I30">
        <v>4</v>
      </c>
      <c r="J30">
        <v>4</v>
      </c>
      <c r="K30">
        <v>1999</v>
      </c>
      <c r="L30">
        <v>6</v>
      </c>
      <c r="M30">
        <v>3000</v>
      </c>
      <c r="N30">
        <v>9</v>
      </c>
      <c r="O30">
        <v>1</v>
      </c>
      <c r="P30">
        <v>3</v>
      </c>
      <c r="Q30">
        <v>3</v>
      </c>
      <c r="R30">
        <v>3</v>
      </c>
      <c r="S30">
        <v>2000</v>
      </c>
      <c r="T30">
        <v>4</v>
      </c>
      <c r="U30">
        <v>135</v>
      </c>
      <c r="V30">
        <v>2799.6000000000004</v>
      </c>
      <c r="W30">
        <v>7</v>
      </c>
      <c r="X30">
        <v>6999</v>
      </c>
      <c r="Y30">
        <f t="shared" si="0"/>
        <v>5934.6</v>
      </c>
      <c r="Z30">
        <f t="shared" si="1"/>
        <v>1064.3999999999996</v>
      </c>
      <c r="AA30">
        <f t="shared" si="2"/>
        <v>42</v>
      </c>
      <c r="AB30" t="str">
        <f t="shared" si="3"/>
        <v>3446</v>
      </c>
      <c r="AC30" t="str">
        <f t="shared" si="4"/>
        <v>3141416</v>
      </c>
    </row>
    <row r="31" spans="1:29" x14ac:dyDescent="0.3">
      <c r="A31">
        <f>_xlfn.XLOOKUP(E31,Date_Dim!B:B,Date_Dim!A:A)</f>
        <v>30</v>
      </c>
      <c r="B31">
        <v>2020</v>
      </c>
      <c r="C31">
        <v>20</v>
      </c>
      <c r="D31">
        <v>2</v>
      </c>
      <c r="E31" s="1">
        <v>45449</v>
      </c>
      <c r="F31">
        <v>2</v>
      </c>
      <c r="G31" s="1">
        <v>45479</v>
      </c>
      <c r="H31" s="1">
        <v>45521</v>
      </c>
      <c r="I31">
        <v>4</v>
      </c>
      <c r="J31">
        <v>2</v>
      </c>
      <c r="K31">
        <v>1999</v>
      </c>
      <c r="L31">
        <v>2</v>
      </c>
      <c r="M31">
        <v>4000</v>
      </c>
      <c r="N31">
        <v>14</v>
      </c>
      <c r="O31">
        <v>1</v>
      </c>
      <c r="P31">
        <v>1</v>
      </c>
      <c r="Q31">
        <v>1</v>
      </c>
      <c r="R31">
        <v>1</v>
      </c>
      <c r="S31">
        <v>0</v>
      </c>
      <c r="T31">
        <v>2</v>
      </c>
      <c r="U31">
        <v>175</v>
      </c>
      <c r="V31">
        <v>2399.6</v>
      </c>
      <c r="W31">
        <v>2</v>
      </c>
      <c r="X31">
        <v>5999</v>
      </c>
      <c r="Y31">
        <f t="shared" si="0"/>
        <v>6574.6</v>
      </c>
      <c r="Z31">
        <f t="shared" si="1"/>
        <v>-575.60000000000036</v>
      </c>
      <c r="AA31">
        <f t="shared" si="2"/>
        <v>42</v>
      </c>
      <c r="AB31" t="str">
        <f t="shared" si="3"/>
        <v>1222</v>
      </c>
      <c r="AC31" t="str">
        <f t="shared" si="4"/>
        <v>1121212</v>
      </c>
    </row>
    <row r="32" spans="1:29" x14ac:dyDescent="0.3">
      <c r="A32">
        <f>_xlfn.XLOOKUP(E32,Date_Dim!B:B,Date_Dim!A:A)</f>
        <v>31</v>
      </c>
      <c r="B32">
        <v>2023</v>
      </c>
      <c r="C32">
        <v>20</v>
      </c>
      <c r="D32">
        <v>2</v>
      </c>
      <c r="E32" s="1">
        <v>45390</v>
      </c>
      <c r="F32">
        <v>3</v>
      </c>
      <c r="G32" s="1">
        <v>45420</v>
      </c>
      <c r="H32" s="1">
        <v>45448</v>
      </c>
      <c r="I32">
        <v>3</v>
      </c>
      <c r="J32">
        <v>3</v>
      </c>
      <c r="K32">
        <v>1689</v>
      </c>
      <c r="L32">
        <v>3</v>
      </c>
      <c r="M32">
        <v>2000</v>
      </c>
      <c r="N32">
        <v>12</v>
      </c>
      <c r="O32">
        <v>1</v>
      </c>
      <c r="P32">
        <v>1</v>
      </c>
      <c r="Q32">
        <v>1</v>
      </c>
      <c r="R32">
        <v>1</v>
      </c>
      <c r="S32">
        <v>0</v>
      </c>
      <c r="T32">
        <v>2</v>
      </c>
      <c r="U32">
        <v>175</v>
      </c>
      <c r="V32">
        <v>1106.7000000000003</v>
      </c>
      <c r="W32">
        <v>2</v>
      </c>
      <c r="X32">
        <v>3689</v>
      </c>
      <c r="Y32">
        <f t="shared" si="0"/>
        <v>3281.7000000000003</v>
      </c>
      <c r="Z32">
        <f t="shared" si="1"/>
        <v>407.29999999999973</v>
      </c>
      <c r="AA32">
        <f t="shared" si="2"/>
        <v>28</v>
      </c>
      <c r="AB32" t="str">
        <f t="shared" si="3"/>
        <v>1323</v>
      </c>
      <c r="AC32" t="str">
        <f t="shared" si="4"/>
        <v>1131213</v>
      </c>
    </row>
    <row r="33" spans="1:29" x14ac:dyDescent="0.3">
      <c r="A33">
        <f>_xlfn.XLOOKUP(E33,Date_Dim!B:B,Date_Dim!A:A)</f>
        <v>32</v>
      </c>
      <c r="B33">
        <v>2021</v>
      </c>
      <c r="C33">
        <v>21</v>
      </c>
      <c r="D33">
        <v>2</v>
      </c>
      <c r="E33" s="1">
        <v>43894</v>
      </c>
      <c r="F33">
        <v>2</v>
      </c>
      <c r="G33" s="1">
        <v>43924</v>
      </c>
      <c r="H33" s="1">
        <v>43966</v>
      </c>
      <c r="I33">
        <v>4</v>
      </c>
      <c r="J33">
        <v>2</v>
      </c>
      <c r="K33">
        <v>1999</v>
      </c>
      <c r="L33">
        <v>2</v>
      </c>
      <c r="M33">
        <v>4000</v>
      </c>
      <c r="N33">
        <v>14</v>
      </c>
      <c r="O33">
        <v>1</v>
      </c>
      <c r="P33">
        <v>1</v>
      </c>
      <c r="Q33">
        <v>1</v>
      </c>
      <c r="R33">
        <v>1</v>
      </c>
      <c r="S33">
        <v>0</v>
      </c>
      <c r="T33">
        <v>2</v>
      </c>
      <c r="U33">
        <v>175</v>
      </c>
      <c r="V33">
        <v>2399.6</v>
      </c>
      <c r="W33">
        <v>2</v>
      </c>
      <c r="X33">
        <v>5999</v>
      </c>
      <c r="Y33">
        <f t="shared" si="0"/>
        <v>6574.6</v>
      </c>
      <c r="Z33">
        <f t="shared" si="1"/>
        <v>-575.60000000000036</v>
      </c>
      <c r="AA33">
        <f t="shared" si="2"/>
        <v>42</v>
      </c>
      <c r="AB33" t="str">
        <f t="shared" si="3"/>
        <v>1222</v>
      </c>
      <c r="AC33" t="str">
        <f t="shared" si="4"/>
        <v>1121212</v>
      </c>
    </row>
    <row r="34" spans="1:29" x14ac:dyDescent="0.3">
      <c r="A34">
        <f>_xlfn.XLOOKUP(E34,Date_Dim!B:B,Date_Dim!A:A)</f>
        <v>33</v>
      </c>
      <c r="B34">
        <v>2022</v>
      </c>
      <c r="C34">
        <v>22</v>
      </c>
      <c r="D34">
        <v>2</v>
      </c>
      <c r="E34" s="1">
        <v>44696</v>
      </c>
      <c r="F34">
        <v>20</v>
      </c>
      <c r="G34" s="1">
        <v>44726</v>
      </c>
      <c r="H34" s="1">
        <v>44740</v>
      </c>
      <c r="I34">
        <v>1</v>
      </c>
      <c r="J34">
        <v>5</v>
      </c>
      <c r="K34">
        <v>1459</v>
      </c>
      <c r="L34">
        <v>13</v>
      </c>
      <c r="M34">
        <v>3500</v>
      </c>
      <c r="N34">
        <v>20</v>
      </c>
      <c r="O34">
        <v>1</v>
      </c>
      <c r="P34">
        <v>4</v>
      </c>
      <c r="Q34">
        <v>4</v>
      </c>
      <c r="R34">
        <v>4</v>
      </c>
      <c r="S34">
        <v>0</v>
      </c>
      <c r="T34">
        <v>5</v>
      </c>
      <c r="U34">
        <v>155</v>
      </c>
      <c r="V34">
        <v>1487.7000000000003</v>
      </c>
      <c r="W34">
        <v>8</v>
      </c>
      <c r="X34">
        <v>4959</v>
      </c>
      <c r="Y34">
        <f t="shared" si="0"/>
        <v>5142.7000000000007</v>
      </c>
      <c r="Z34">
        <f t="shared" si="1"/>
        <v>-183.70000000000073</v>
      </c>
      <c r="AA34">
        <f t="shared" si="2"/>
        <v>14</v>
      </c>
      <c r="AB34" t="str">
        <f t="shared" si="3"/>
        <v>45520</v>
      </c>
      <c r="AC34" t="str">
        <f t="shared" si="4"/>
        <v>41515120</v>
      </c>
    </row>
    <row r="35" spans="1:29" x14ac:dyDescent="0.3">
      <c r="A35">
        <f>_xlfn.XLOOKUP(E35,Date_Dim!B:B,Date_Dim!A:A)</f>
        <v>34</v>
      </c>
      <c r="B35">
        <v>2021</v>
      </c>
      <c r="C35">
        <v>23</v>
      </c>
      <c r="D35">
        <v>2</v>
      </c>
      <c r="E35" s="1">
        <v>44488</v>
      </c>
      <c r="F35">
        <v>21</v>
      </c>
      <c r="G35" s="1">
        <v>44518</v>
      </c>
      <c r="H35" s="1">
        <v>44560</v>
      </c>
      <c r="I35">
        <v>4</v>
      </c>
      <c r="J35">
        <v>1</v>
      </c>
      <c r="K35">
        <v>1999</v>
      </c>
      <c r="L35">
        <v>5</v>
      </c>
      <c r="M35">
        <v>3200</v>
      </c>
      <c r="N35">
        <v>8</v>
      </c>
      <c r="O35">
        <v>1</v>
      </c>
      <c r="P35">
        <v>4</v>
      </c>
      <c r="Q35">
        <v>4</v>
      </c>
      <c r="R35">
        <v>4</v>
      </c>
      <c r="S35">
        <v>0</v>
      </c>
      <c r="T35">
        <v>8</v>
      </c>
      <c r="U35">
        <v>80</v>
      </c>
      <c r="V35">
        <v>1559.7000000000003</v>
      </c>
      <c r="W35">
        <v>8</v>
      </c>
      <c r="X35">
        <v>5199</v>
      </c>
      <c r="Y35">
        <f t="shared" si="0"/>
        <v>4839.7000000000007</v>
      </c>
      <c r="Z35">
        <f t="shared" si="1"/>
        <v>359.29999999999927</v>
      </c>
      <c r="AA35">
        <f t="shared" si="2"/>
        <v>42</v>
      </c>
      <c r="AB35" t="str">
        <f t="shared" si="3"/>
        <v>41821</v>
      </c>
      <c r="AC35" t="str">
        <f t="shared" si="4"/>
        <v>41118121</v>
      </c>
    </row>
    <row r="36" spans="1:29" x14ac:dyDescent="0.3">
      <c r="A36">
        <f>_xlfn.XLOOKUP(E36,Date_Dim!B:B,Date_Dim!A:A)</f>
        <v>35</v>
      </c>
      <c r="B36">
        <v>2024</v>
      </c>
      <c r="C36">
        <v>23</v>
      </c>
      <c r="D36">
        <v>2</v>
      </c>
      <c r="E36" s="1">
        <v>44031</v>
      </c>
      <c r="F36">
        <v>8</v>
      </c>
      <c r="G36" s="1">
        <v>44061</v>
      </c>
      <c r="H36" s="1">
        <v>44075</v>
      </c>
      <c r="I36">
        <v>1</v>
      </c>
      <c r="J36">
        <v>4</v>
      </c>
      <c r="K36">
        <v>1459</v>
      </c>
      <c r="L36">
        <v>8</v>
      </c>
      <c r="M36">
        <v>1800</v>
      </c>
      <c r="N36">
        <v>2</v>
      </c>
      <c r="O36">
        <v>1</v>
      </c>
      <c r="P36">
        <v>4</v>
      </c>
      <c r="Q36">
        <v>4</v>
      </c>
      <c r="R36">
        <v>4</v>
      </c>
      <c r="S36">
        <v>0</v>
      </c>
      <c r="T36">
        <v>5</v>
      </c>
      <c r="U36">
        <v>155</v>
      </c>
      <c r="V36">
        <v>977.70000000000016</v>
      </c>
      <c r="W36">
        <v>6</v>
      </c>
      <c r="X36">
        <v>3259</v>
      </c>
      <c r="Y36">
        <f t="shared" si="0"/>
        <v>2932.7000000000003</v>
      </c>
      <c r="Z36">
        <f t="shared" si="1"/>
        <v>326.29999999999973</v>
      </c>
      <c r="AA36">
        <f t="shared" si="2"/>
        <v>14</v>
      </c>
      <c r="AB36" t="str">
        <f t="shared" si="3"/>
        <v>4458</v>
      </c>
      <c r="AC36" t="str">
        <f t="shared" si="4"/>
        <v>4141518</v>
      </c>
    </row>
    <row r="37" spans="1:29" x14ac:dyDescent="0.3">
      <c r="A37">
        <f>_xlfn.XLOOKUP(E37,Date_Dim!B:B,Date_Dim!A:A)</f>
        <v>36</v>
      </c>
      <c r="B37">
        <v>2021</v>
      </c>
      <c r="C37">
        <v>24</v>
      </c>
      <c r="D37">
        <v>2</v>
      </c>
      <c r="E37" s="1">
        <v>44868</v>
      </c>
      <c r="F37">
        <v>22</v>
      </c>
      <c r="G37" s="1">
        <v>44898</v>
      </c>
      <c r="H37" s="1">
        <v>44919</v>
      </c>
      <c r="I37">
        <v>2</v>
      </c>
      <c r="J37">
        <v>6</v>
      </c>
      <c r="K37">
        <v>1559</v>
      </c>
      <c r="L37">
        <v>8</v>
      </c>
      <c r="M37">
        <v>2600</v>
      </c>
      <c r="N37">
        <v>2</v>
      </c>
      <c r="O37">
        <v>1</v>
      </c>
      <c r="P37">
        <v>2</v>
      </c>
      <c r="Q37">
        <v>2</v>
      </c>
      <c r="R37">
        <v>2</v>
      </c>
      <c r="S37">
        <v>6000</v>
      </c>
      <c r="T37">
        <v>7</v>
      </c>
      <c r="U37">
        <v>25</v>
      </c>
      <c r="V37">
        <v>3047.7000000000003</v>
      </c>
      <c r="W37">
        <v>3</v>
      </c>
      <c r="X37">
        <v>10159</v>
      </c>
      <c r="Y37">
        <f t="shared" si="0"/>
        <v>5672.7000000000007</v>
      </c>
      <c r="Z37">
        <f t="shared" si="1"/>
        <v>4486.2999999999993</v>
      </c>
      <c r="AA37">
        <f t="shared" si="2"/>
        <v>21</v>
      </c>
      <c r="AB37" t="str">
        <f t="shared" si="3"/>
        <v>26722</v>
      </c>
      <c r="AC37" t="str">
        <f t="shared" si="4"/>
        <v>21617122</v>
      </c>
    </row>
    <row r="38" spans="1:29" x14ac:dyDescent="0.3">
      <c r="A38">
        <f>_xlfn.XLOOKUP(E38,Date_Dim!B:B,Date_Dim!A:A)</f>
        <v>37</v>
      </c>
      <c r="B38">
        <v>2024</v>
      </c>
      <c r="C38">
        <v>25</v>
      </c>
      <c r="D38">
        <v>2</v>
      </c>
      <c r="E38" s="1">
        <v>45210</v>
      </c>
      <c r="F38">
        <v>15</v>
      </c>
      <c r="G38" s="1">
        <v>45240</v>
      </c>
      <c r="H38" s="1">
        <v>45268</v>
      </c>
      <c r="I38">
        <v>3</v>
      </c>
      <c r="J38">
        <v>2</v>
      </c>
      <c r="K38">
        <v>1689</v>
      </c>
      <c r="L38">
        <v>10</v>
      </c>
      <c r="M38">
        <v>2500</v>
      </c>
      <c r="N38">
        <v>6</v>
      </c>
      <c r="O38">
        <v>1</v>
      </c>
      <c r="P38">
        <v>2</v>
      </c>
      <c r="Q38">
        <v>2</v>
      </c>
      <c r="R38">
        <v>2</v>
      </c>
      <c r="S38">
        <v>6000</v>
      </c>
      <c r="T38">
        <v>2</v>
      </c>
      <c r="U38">
        <v>175</v>
      </c>
      <c r="V38">
        <v>4075.6000000000004</v>
      </c>
      <c r="W38">
        <v>3</v>
      </c>
      <c r="X38">
        <v>10189</v>
      </c>
      <c r="Y38">
        <f t="shared" si="0"/>
        <v>6750.6</v>
      </c>
      <c r="Z38">
        <f t="shared" si="1"/>
        <v>3438.3999999999996</v>
      </c>
      <c r="AA38">
        <f t="shared" si="2"/>
        <v>28</v>
      </c>
      <c r="AB38" t="str">
        <f t="shared" si="3"/>
        <v>22215</v>
      </c>
      <c r="AC38" t="str">
        <f t="shared" si="4"/>
        <v>21212115</v>
      </c>
    </row>
    <row r="39" spans="1:29" x14ac:dyDescent="0.3">
      <c r="A39">
        <f>_xlfn.XLOOKUP(E39,Date_Dim!B:B,Date_Dim!A:A)</f>
        <v>38</v>
      </c>
      <c r="B39">
        <v>2023</v>
      </c>
      <c r="C39">
        <v>25</v>
      </c>
      <c r="D39">
        <v>2</v>
      </c>
      <c r="E39" s="1">
        <v>44126</v>
      </c>
      <c r="F39">
        <v>5</v>
      </c>
      <c r="G39" s="1">
        <v>44156</v>
      </c>
      <c r="H39" s="1">
        <v>44212</v>
      </c>
      <c r="I39">
        <v>5</v>
      </c>
      <c r="J39">
        <v>4</v>
      </c>
      <c r="K39">
        <v>2699</v>
      </c>
      <c r="L39">
        <v>5</v>
      </c>
      <c r="M39">
        <v>5000</v>
      </c>
      <c r="N39">
        <v>8</v>
      </c>
      <c r="O39">
        <v>1</v>
      </c>
      <c r="P39">
        <v>3</v>
      </c>
      <c r="Q39">
        <v>3</v>
      </c>
      <c r="R39">
        <v>3</v>
      </c>
      <c r="S39">
        <v>2000</v>
      </c>
      <c r="T39">
        <v>3</v>
      </c>
      <c r="U39">
        <v>125</v>
      </c>
      <c r="V39">
        <v>3879.6000000000004</v>
      </c>
      <c r="W39">
        <v>4</v>
      </c>
      <c r="X39">
        <v>9699</v>
      </c>
      <c r="Y39">
        <f t="shared" si="0"/>
        <v>9004.6</v>
      </c>
      <c r="Z39">
        <f t="shared" si="1"/>
        <v>694.39999999999964</v>
      </c>
      <c r="AA39">
        <f t="shared" si="2"/>
        <v>56</v>
      </c>
      <c r="AB39" t="str">
        <f t="shared" si="3"/>
        <v>3435</v>
      </c>
      <c r="AC39" t="str">
        <f t="shared" si="4"/>
        <v>3141315</v>
      </c>
    </row>
    <row r="40" spans="1:29" x14ac:dyDescent="0.3">
      <c r="A40">
        <f>_xlfn.XLOOKUP(E40,Date_Dim!B:B,Date_Dim!A:A)</f>
        <v>39</v>
      </c>
      <c r="B40">
        <v>2024</v>
      </c>
      <c r="C40">
        <v>25</v>
      </c>
      <c r="D40">
        <v>2</v>
      </c>
      <c r="E40" s="1">
        <v>44631</v>
      </c>
      <c r="F40">
        <v>23</v>
      </c>
      <c r="G40" s="1">
        <v>44661</v>
      </c>
      <c r="H40" s="1">
        <v>44689</v>
      </c>
      <c r="I40">
        <v>3</v>
      </c>
      <c r="J40">
        <v>2</v>
      </c>
      <c r="K40">
        <v>1689</v>
      </c>
      <c r="L40">
        <v>2</v>
      </c>
      <c r="M40">
        <v>3000</v>
      </c>
      <c r="N40">
        <v>14</v>
      </c>
      <c r="O40">
        <v>1</v>
      </c>
      <c r="P40">
        <v>1</v>
      </c>
      <c r="Q40">
        <v>1</v>
      </c>
      <c r="R40">
        <v>1</v>
      </c>
      <c r="S40">
        <v>0</v>
      </c>
      <c r="T40">
        <v>2</v>
      </c>
      <c r="U40">
        <v>175</v>
      </c>
      <c r="V40">
        <v>1406.7000000000003</v>
      </c>
      <c r="W40">
        <v>2</v>
      </c>
      <c r="X40">
        <v>4689</v>
      </c>
      <c r="Y40">
        <f t="shared" si="0"/>
        <v>4581.7000000000007</v>
      </c>
      <c r="Z40">
        <f t="shared" si="1"/>
        <v>107.29999999999927</v>
      </c>
      <c r="AA40">
        <f t="shared" si="2"/>
        <v>28</v>
      </c>
      <c r="AB40" t="str">
        <f t="shared" si="3"/>
        <v>12223</v>
      </c>
      <c r="AC40" t="str">
        <f t="shared" si="4"/>
        <v>11212123</v>
      </c>
    </row>
    <row r="41" spans="1:29" x14ac:dyDescent="0.3">
      <c r="A41">
        <f>_xlfn.XLOOKUP(E41,Date_Dim!B:B,Date_Dim!A:A)</f>
        <v>40</v>
      </c>
      <c r="B41">
        <v>2023</v>
      </c>
      <c r="C41">
        <v>26</v>
      </c>
      <c r="D41">
        <v>2</v>
      </c>
      <c r="E41" s="1">
        <v>44250</v>
      </c>
      <c r="F41">
        <v>21</v>
      </c>
      <c r="G41" s="1">
        <v>44280</v>
      </c>
      <c r="H41" s="1">
        <v>44322</v>
      </c>
      <c r="I41">
        <v>4</v>
      </c>
      <c r="J41">
        <v>1</v>
      </c>
      <c r="K41">
        <v>1999</v>
      </c>
      <c r="L41">
        <v>5</v>
      </c>
      <c r="M41">
        <v>3200</v>
      </c>
      <c r="N41">
        <v>8</v>
      </c>
      <c r="O41">
        <v>1</v>
      </c>
      <c r="P41">
        <v>4</v>
      </c>
      <c r="Q41">
        <v>4</v>
      </c>
      <c r="R41">
        <v>4</v>
      </c>
      <c r="S41">
        <v>0</v>
      </c>
      <c r="T41">
        <v>1</v>
      </c>
      <c r="U41">
        <v>0</v>
      </c>
      <c r="V41">
        <v>1559.7000000000003</v>
      </c>
      <c r="W41">
        <v>8</v>
      </c>
      <c r="X41">
        <v>5199</v>
      </c>
      <c r="Y41">
        <f t="shared" si="0"/>
        <v>4759.7000000000007</v>
      </c>
      <c r="Z41">
        <f t="shared" si="1"/>
        <v>439.29999999999927</v>
      </c>
      <c r="AA41">
        <f t="shared" si="2"/>
        <v>42</v>
      </c>
      <c r="AB41" t="str">
        <f t="shared" si="3"/>
        <v>41121</v>
      </c>
      <c r="AC41" t="str">
        <f t="shared" si="4"/>
        <v>41111121</v>
      </c>
    </row>
    <row r="42" spans="1:29" x14ac:dyDescent="0.3">
      <c r="A42">
        <f>_xlfn.XLOOKUP(E42,Date_Dim!B:B,Date_Dim!A:A)</f>
        <v>41</v>
      </c>
      <c r="B42">
        <v>2022</v>
      </c>
      <c r="C42">
        <v>27</v>
      </c>
      <c r="D42">
        <v>2</v>
      </c>
      <c r="E42" s="1">
        <v>44332</v>
      </c>
      <c r="F42">
        <v>15</v>
      </c>
      <c r="G42" s="1">
        <v>44362</v>
      </c>
      <c r="H42" s="1">
        <v>44390</v>
      </c>
      <c r="I42">
        <v>3</v>
      </c>
      <c r="J42">
        <v>2</v>
      </c>
      <c r="K42">
        <v>1689</v>
      </c>
      <c r="L42">
        <v>10</v>
      </c>
      <c r="M42">
        <v>2500</v>
      </c>
      <c r="N42">
        <v>6</v>
      </c>
      <c r="O42">
        <v>1</v>
      </c>
      <c r="P42">
        <v>2</v>
      </c>
      <c r="Q42">
        <v>2</v>
      </c>
      <c r="R42">
        <v>2</v>
      </c>
      <c r="S42">
        <v>6000</v>
      </c>
      <c r="T42">
        <v>2</v>
      </c>
      <c r="U42">
        <v>175</v>
      </c>
      <c r="V42">
        <v>4075.6000000000004</v>
      </c>
      <c r="W42">
        <v>3</v>
      </c>
      <c r="X42">
        <v>10189</v>
      </c>
      <c r="Y42">
        <f t="shared" si="0"/>
        <v>6750.6</v>
      </c>
      <c r="Z42">
        <f t="shared" si="1"/>
        <v>3438.3999999999996</v>
      </c>
      <c r="AA42">
        <f t="shared" si="2"/>
        <v>28</v>
      </c>
      <c r="AB42" t="str">
        <f t="shared" si="3"/>
        <v>22215</v>
      </c>
      <c r="AC42" t="str">
        <f t="shared" si="4"/>
        <v>21212115</v>
      </c>
    </row>
    <row r="43" spans="1:29" x14ac:dyDescent="0.3">
      <c r="A43">
        <f>_xlfn.XLOOKUP(E43,Date_Dim!B:B,Date_Dim!A:A)</f>
        <v>42</v>
      </c>
      <c r="B43">
        <v>2024</v>
      </c>
      <c r="C43">
        <v>27</v>
      </c>
      <c r="D43">
        <v>2</v>
      </c>
      <c r="E43" s="1">
        <v>44397</v>
      </c>
      <c r="F43">
        <v>5</v>
      </c>
      <c r="G43" s="1">
        <v>44427</v>
      </c>
      <c r="H43" s="1">
        <v>44483</v>
      </c>
      <c r="I43">
        <v>5</v>
      </c>
      <c r="J43">
        <v>4</v>
      </c>
      <c r="K43">
        <v>2699</v>
      </c>
      <c r="L43">
        <v>5</v>
      </c>
      <c r="M43">
        <v>5000</v>
      </c>
      <c r="N43">
        <v>8</v>
      </c>
      <c r="O43">
        <v>1</v>
      </c>
      <c r="P43">
        <v>5</v>
      </c>
      <c r="Q43">
        <v>5</v>
      </c>
      <c r="R43">
        <v>5</v>
      </c>
      <c r="S43">
        <v>8000</v>
      </c>
      <c r="T43">
        <v>3</v>
      </c>
      <c r="U43">
        <v>125</v>
      </c>
      <c r="V43">
        <v>6279.6</v>
      </c>
      <c r="W43">
        <v>4</v>
      </c>
      <c r="X43">
        <v>15699</v>
      </c>
      <c r="Y43">
        <f t="shared" si="0"/>
        <v>11404.6</v>
      </c>
      <c r="Z43">
        <f t="shared" si="1"/>
        <v>4294.3999999999996</v>
      </c>
      <c r="AA43">
        <f t="shared" si="2"/>
        <v>56</v>
      </c>
      <c r="AB43" t="str">
        <f t="shared" si="3"/>
        <v>5435</v>
      </c>
      <c r="AC43" t="str">
        <f t="shared" si="4"/>
        <v>5141315</v>
      </c>
    </row>
    <row r="44" spans="1:29" x14ac:dyDescent="0.3">
      <c r="A44">
        <f>_xlfn.XLOOKUP(E44,Date_Dim!B:B,Date_Dim!A:A)</f>
        <v>43</v>
      </c>
      <c r="B44">
        <v>2022</v>
      </c>
      <c r="C44">
        <v>28</v>
      </c>
      <c r="D44">
        <v>2</v>
      </c>
      <c r="E44" s="1">
        <v>43955</v>
      </c>
      <c r="F44">
        <v>9</v>
      </c>
      <c r="G44" s="1">
        <v>43985</v>
      </c>
      <c r="H44" s="1">
        <v>44041</v>
      </c>
      <c r="I44">
        <v>5</v>
      </c>
      <c r="J44">
        <v>3</v>
      </c>
      <c r="K44">
        <v>2699</v>
      </c>
      <c r="L44">
        <v>3</v>
      </c>
      <c r="M44">
        <v>3500</v>
      </c>
      <c r="N44">
        <v>12</v>
      </c>
      <c r="O44">
        <v>1</v>
      </c>
      <c r="P44">
        <v>1</v>
      </c>
      <c r="Q44">
        <v>1</v>
      </c>
      <c r="R44">
        <v>1</v>
      </c>
      <c r="S44">
        <v>0</v>
      </c>
      <c r="T44">
        <v>6</v>
      </c>
      <c r="U44">
        <v>120</v>
      </c>
      <c r="V44">
        <v>2479.6000000000004</v>
      </c>
      <c r="W44">
        <v>1</v>
      </c>
      <c r="X44">
        <v>6199</v>
      </c>
      <c r="Y44">
        <f t="shared" si="0"/>
        <v>6099.6</v>
      </c>
      <c r="Z44">
        <f t="shared" si="1"/>
        <v>99.399999999999636</v>
      </c>
      <c r="AA44">
        <f t="shared" si="2"/>
        <v>56</v>
      </c>
      <c r="AB44" t="str">
        <f t="shared" si="3"/>
        <v>1369</v>
      </c>
      <c r="AC44" t="str">
        <f t="shared" si="4"/>
        <v>1131619</v>
      </c>
    </row>
    <row r="45" spans="1:29" x14ac:dyDescent="0.3">
      <c r="A45">
        <f>_xlfn.XLOOKUP(E45,Date_Dim!B:B,Date_Dim!A:A)</f>
        <v>44</v>
      </c>
      <c r="B45">
        <v>2024</v>
      </c>
      <c r="C45">
        <v>28</v>
      </c>
      <c r="D45">
        <v>2</v>
      </c>
      <c r="E45" s="1">
        <v>44062</v>
      </c>
      <c r="F45">
        <v>6</v>
      </c>
      <c r="G45" s="1">
        <v>44092</v>
      </c>
      <c r="H45" s="1">
        <v>44134</v>
      </c>
      <c r="I45">
        <v>4</v>
      </c>
      <c r="J45">
        <v>4</v>
      </c>
      <c r="K45">
        <v>1999</v>
      </c>
      <c r="L45">
        <v>6</v>
      </c>
      <c r="M45">
        <v>3000</v>
      </c>
      <c r="N45">
        <v>9</v>
      </c>
      <c r="O45">
        <v>1</v>
      </c>
      <c r="P45">
        <v>3</v>
      </c>
      <c r="Q45">
        <v>3</v>
      </c>
      <c r="R45">
        <v>3</v>
      </c>
      <c r="S45">
        <v>2000</v>
      </c>
      <c r="T45">
        <v>4</v>
      </c>
      <c r="U45">
        <v>135</v>
      </c>
      <c r="V45">
        <v>2799.6000000000004</v>
      </c>
      <c r="W45">
        <v>7</v>
      </c>
      <c r="X45">
        <v>6999</v>
      </c>
      <c r="Y45">
        <f t="shared" si="0"/>
        <v>5934.6</v>
      </c>
      <c r="Z45">
        <f t="shared" si="1"/>
        <v>1064.3999999999996</v>
      </c>
      <c r="AA45">
        <f t="shared" si="2"/>
        <v>42</v>
      </c>
      <c r="AB45" t="str">
        <f t="shared" si="3"/>
        <v>3446</v>
      </c>
      <c r="AC45" t="str">
        <f t="shared" si="4"/>
        <v>3141416</v>
      </c>
    </row>
    <row r="46" spans="1:29" x14ac:dyDescent="0.3">
      <c r="A46">
        <f>_xlfn.XLOOKUP(E46,Date_Dim!B:B,Date_Dim!A:A)</f>
        <v>45</v>
      </c>
      <c r="B46">
        <v>2023</v>
      </c>
      <c r="C46">
        <v>29</v>
      </c>
      <c r="D46">
        <v>2</v>
      </c>
      <c r="E46" s="1">
        <v>44623</v>
      </c>
      <c r="F46">
        <v>18</v>
      </c>
      <c r="G46" s="1">
        <v>44653</v>
      </c>
      <c r="H46" s="1">
        <v>44681</v>
      </c>
      <c r="I46">
        <v>3</v>
      </c>
      <c r="J46">
        <v>2</v>
      </c>
      <c r="K46">
        <v>1689</v>
      </c>
      <c r="L46">
        <v>10</v>
      </c>
      <c r="M46">
        <v>2500</v>
      </c>
      <c r="N46">
        <v>6</v>
      </c>
      <c r="O46">
        <v>1</v>
      </c>
      <c r="P46">
        <v>1</v>
      </c>
      <c r="Q46">
        <v>1</v>
      </c>
      <c r="R46">
        <v>1</v>
      </c>
      <c r="S46">
        <v>0</v>
      </c>
      <c r="T46">
        <v>2</v>
      </c>
      <c r="U46">
        <v>175</v>
      </c>
      <c r="V46">
        <v>1675.6000000000001</v>
      </c>
      <c r="W46">
        <v>3</v>
      </c>
      <c r="X46">
        <v>4189</v>
      </c>
      <c r="Y46">
        <f t="shared" si="0"/>
        <v>4350.6000000000004</v>
      </c>
      <c r="Z46">
        <f t="shared" si="1"/>
        <v>-161.60000000000036</v>
      </c>
      <c r="AA46">
        <f t="shared" si="2"/>
        <v>28</v>
      </c>
      <c r="AB46" t="str">
        <f t="shared" si="3"/>
        <v>12218</v>
      </c>
      <c r="AC46" t="str">
        <f t="shared" si="4"/>
        <v>11212118</v>
      </c>
    </row>
    <row r="47" spans="1:29" x14ac:dyDescent="0.3">
      <c r="A47">
        <f>_xlfn.XLOOKUP(E47,Date_Dim!B:B,Date_Dim!A:A)</f>
        <v>46</v>
      </c>
      <c r="B47">
        <v>2020</v>
      </c>
      <c r="C47">
        <v>29</v>
      </c>
      <c r="D47">
        <v>2</v>
      </c>
      <c r="E47" s="1">
        <v>43953</v>
      </c>
      <c r="F47">
        <v>19</v>
      </c>
      <c r="G47" s="1">
        <v>43983</v>
      </c>
      <c r="H47" s="1">
        <v>44039</v>
      </c>
      <c r="I47">
        <v>5</v>
      </c>
      <c r="J47">
        <v>6</v>
      </c>
      <c r="K47">
        <v>2699</v>
      </c>
      <c r="L47">
        <v>8</v>
      </c>
      <c r="M47">
        <v>3200</v>
      </c>
      <c r="N47">
        <v>2</v>
      </c>
      <c r="O47">
        <v>1</v>
      </c>
      <c r="P47">
        <v>2</v>
      </c>
      <c r="Q47">
        <v>2</v>
      </c>
      <c r="R47">
        <v>2</v>
      </c>
      <c r="S47">
        <v>6000</v>
      </c>
      <c r="T47">
        <v>2</v>
      </c>
      <c r="U47">
        <v>175</v>
      </c>
      <c r="V47">
        <v>4759.6000000000004</v>
      </c>
      <c r="W47">
        <v>3</v>
      </c>
      <c r="X47">
        <v>11899</v>
      </c>
      <c r="Y47">
        <f t="shared" si="0"/>
        <v>8134.6</v>
      </c>
      <c r="Z47">
        <f t="shared" si="1"/>
        <v>3764.3999999999996</v>
      </c>
      <c r="AA47">
        <f t="shared" si="2"/>
        <v>56</v>
      </c>
      <c r="AB47" t="str">
        <f t="shared" si="3"/>
        <v>26219</v>
      </c>
      <c r="AC47" t="str">
        <f t="shared" si="4"/>
        <v>21612119</v>
      </c>
    </row>
    <row r="48" spans="1:29" x14ac:dyDescent="0.3">
      <c r="A48">
        <f>_xlfn.XLOOKUP(E48,Date_Dim!B:B,Date_Dim!A:A)</f>
        <v>47</v>
      </c>
      <c r="B48">
        <v>2024</v>
      </c>
      <c r="C48">
        <v>30</v>
      </c>
      <c r="D48">
        <v>2</v>
      </c>
      <c r="E48" s="1">
        <v>45149</v>
      </c>
      <c r="F48">
        <v>3</v>
      </c>
      <c r="G48" s="1">
        <v>45179</v>
      </c>
      <c r="H48" s="1">
        <v>45207</v>
      </c>
      <c r="I48">
        <v>3</v>
      </c>
      <c r="J48">
        <v>3</v>
      </c>
      <c r="K48">
        <v>1689</v>
      </c>
      <c r="L48">
        <v>3</v>
      </c>
      <c r="M48">
        <v>2000</v>
      </c>
      <c r="N48">
        <v>12</v>
      </c>
      <c r="O48">
        <v>1</v>
      </c>
      <c r="P48">
        <v>1</v>
      </c>
      <c r="Q48">
        <v>1</v>
      </c>
      <c r="R48">
        <v>1</v>
      </c>
      <c r="S48">
        <v>0</v>
      </c>
      <c r="T48">
        <v>2</v>
      </c>
      <c r="U48">
        <v>175</v>
      </c>
      <c r="V48">
        <v>1106.7000000000003</v>
      </c>
      <c r="W48">
        <v>2</v>
      </c>
      <c r="X48">
        <v>3689</v>
      </c>
      <c r="Y48">
        <f t="shared" si="0"/>
        <v>3281.7000000000003</v>
      </c>
      <c r="Z48">
        <f t="shared" si="1"/>
        <v>407.29999999999973</v>
      </c>
      <c r="AA48">
        <f t="shared" si="2"/>
        <v>28</v>
      </c>
      <c r="AB48" t="str">
        <f t="shared" si="3"/>
        <v>1323</v>
      </c>
      <c r="AC48" t="str">
        <f t="shared" si="4"/>
        <v>1131213</v>
      </c>
    </row>
    <row r="49" spans="1:29" x14ac:dyDescent="0.3">
      <c r="A49">
        <f>_xlfn.XLOOKUP(E49,Date_Dim!B:B,Date_Dim!A:A)</f>
        <v>48</v>
      </c>
      <c r="B49">
        <v>2021</v>
      </c>
      <c r="C49">
        <v>30</v>
      </c>
      <c r="D49">
        <v>2</v>
      </c>
      <c r="E49" s="1">
        <v>44852</v>
      </c>
      <c r="F49">
        <v>6</v>
      </c>
      <c r="G49" s="1">
        <v>44882</v>
      </c>
      <c r="H49" s="1">
        <v>44924</v>
      </c>
      <c r="I49">
        <v>4</v>
      </c>
      <c r="J49">
        <v>4</v>
      </c>
      <c r="K49">
        <v>1999</v>
      </c>
      <c r="L49">
        <v>6</v>
      </c>
      <c r="M49">
        <v>3000</v>
      </c>
      <c r="N49">
        <v>9</v>
      </c>
      <c r="O49">
        <v>1</v>
      </c>
      <c r="P49">
        <v>4</v>
      </c>
      <c r="Q49">
        <v>4</v>
      </c>
      <c r="R49">
        <v>4</v>
      </c>
      <c r="S49">
        <v>0</v>
      </c>
      <c r="T49">
        <v>4</v>
      </c>
      <c r="U49">
        <v>135</v>
      </c>
      <c r="V49">
        <v>1999.6000000000001</v>
      </c>
      <c r="W49">
        <v>5</v>
      </c>
      <c r="X49">
        <v>4999</v>
      </c>
      <c r="Y49">
        <f t="shared" si="0"/>
        <v>5134.6000000000004</v>
      </c>
      <c r="Z49">
        <f t="shared" si="1"/>
        <v>-135.60000000000036</v>
      </c>
      <c r="AA49">
        <f t="shared" si="2"/>
        <v>42</v>
      </c>
      <c r="AB49" t="str">
        <f t="shared" si="3"/>
        <v>4446</v>
      </c>
      <c r="AC49" t="str">
        <f t="shared" si="4"/>
        <v>4141416</v>
      </c>
    </row>
    <row r="50" spans="1:29" x14ac:dyDescent="0.3">
      <c r="A50">
        <f>_xlfn.XLOOKUP(E50,Date_Dim!B:B,Date_Dim!A:A)</f>
        <v>45</v>
      </c>
      <c r="B50">
        <v>2024</v>
      </c>
      <c r="C50">
        <v>31</v>
      </c>
      <c r="D50">
        <v>2</v>
      </c>
      <c r="E50" s="1">
        <v>44623</v>
      </c>
      <c r="F50">
        <v>24</v>
      </c>
      <c r="G50" s="1">
        <v>44653</v>
      </c>
      <c r="H50" s="1">
        <v>44695</v>
      </c>
      <c r="I50">
        <v>4</v>
      </c>
      <c r="J50">
        <v>3</v>
      </c>
      <c r="K50">
        <v>1999</v>
      </c>
      <c r="L50">
        <v>3</v>
      </c>
      <c r="M50">
        <v>3000</v>
      </c>
      <c r="N50">
        <v>12</v>
      </c>
      <c r="O50">
        <v>1</v>
      </c>
      <c r="P50">
        <v>1</v>
      </c>
      <c r="Q50">
        <v>1</v>
      </c>
      <c r="R50">
        <v>1</v>
      </c>
      <c r="S50">
        <v>0</v>
      </c>
      <c r="T50">
        <v>2</v>
      </c>
      <c r="U50">
        <v>175</v>
      </c>
      <c r="V50">
        <v>1999.6000000000001</v>
      </c>
      <c r="W50">
        <v>2</v>
      </c>
      <c r="X50">
        <v>4999</v>
      </c>
      <c r="Y50">
        <f t="shared" si="0"/>
        <v>5174.6000000000004</v>
      </c>
      <c r="Z50">
        <f t="shared" si="1"/>
        <v>-175.60000000000036</v>
      </c>
      <c r="AA50">
        <f t="shared" si="2"/>
        <v>42</v>
      </c>
      <c r="AB50" t="str">
        <f t="shared" si="3"/>
        <v>13224</v>
      </c>
      <c r="AC50" t="str">
        <f t="shared" si="4"/>
        <v>11312124</v>
      </c>
    </row>
    <row r="51" spans="1:29" x14ac:dyDescent="0.3">
      <c r="A51">
        <f>_xlfn.XLOOKUP(E51,Date_Dim!B:B,Date_Dim!A:A)</f>
        <v>49</v>
      </c>
      <c r="B51">
        <v>2021</v>
      </c>
      <c r="C51">
        <v>31</v>
      </c>
      <c r="D51">
        <v>2</v>
      </c>
      <c r="E51" s="1">
        <v>44001</v>
      </c>
      <c r="F51">
        <v>6</v>
      </c>
      <c r="G51" s="1">
        <v>44031</v>
      </c>
      <c r="H51" s="1">
        <v>44073</v>
      </c>
      <c r="I51">
        <v>4</v>
      </c>
      <c r="J51">
        <v>4</v>
      </c>
      <c r="K51">
        <v>1999</v>
      </c>
      <c r="L51">
        <v>6</v>
      </c>
      <c r="M51">
        <v>3000</v>
      </c>
      <c r="N51">
        <v>9</v>
      </c>
      <c r="O51">
        <v>1</v>
      </c>
      <c r="P51">
        <v>4</v>
      </c>
      <c r="Q51">
        <v>4</v>
      </c>
      <c r="R51">
        <v>4</v>
      </c>
      <c r="S51">
        <v>0</v>
      </c>
      <c r="T51">
        <v>4</v>
      </c>
      <c r="U51">
        <v>135</v>
      </c>
      <c r="V51">
        <v>1499.7000000000003</v>
      </c>
      <c r="W51">
        <v>5</v>
      </c>
      <c r="X51">
        <v>4999</v>
      </c>
      <c r="Y51">
        <f t="shared" si="0"/>
        <v>4634.7000000000007</v>
      </c>
      <c r="Z51">
        <f t="shared" si="1"/>
        <v>364.29999999999927</v>
      </c>
      <c r="AA51">
        <f t="shared" si="2"/>
        <v>42</v>
      </c>
      <c r="AB51" t="str">
        <f t="shared" si="3"/>
        <v>4446</v>
      </c>
      <c r="AC51" t="str">
        <f t="shared" si="4"/>
        <v>4141416</v>
      </c>
    </row>
    <row r="52" spans="1:29" x14ac:dyDescent="0.3">
      <c r="A52">
        <f>_xlfn.XLOOKUP(E52,Date_Dim!B:B,Date_Dim!A:A)</f>
        <v>50</v>
      </c>
      <c r="B52">
        <v>2022</v>
      </c>
      <c r="C52">
        <v>32</v>
      </c>
      <c r="D52">
        <v>2</v>
      </c>
      <c r="E52" s="1">
        <v>44654</v>
      </c>
      <c r="F52">
        <v>2</v>
      </c>
      <c r="G52" s="1">
        <v>44684</v>
      </c>
      <c r="H52" s="1">
        <v>44726</v>
      </c>
      <c r="I52">
        <v>4</v>
      </c>
      <c r="J52">
        <v>2</v>
      </c>
      <c r="K52">
        <v>1999</v>
      </c>
      <c r="L52">
        <v>2</v>
      </c>
      <c r="M52">
        <v>4000</v>
      </c>
      <c r="N52">
        <v>14</v>
      </c>
      <c r="O52">
        <v>1</v>
      </c>
      <c r="P52">
        <v>1</v>
      </c>
      <c r="Q52">
        <v>1</v>
      </c>
      <c r="R52">
        <v>1</v>
      </c>
      <c r="S52">
        <v>0</v>
      </c>
      <c r="T52">
        <v>2</v>
      </c>
      <c r="U52">
        <v>175</v>
      </c>
      <c r="V52">
        <v>1799.7000000000003</v>
      </c>
      <c r="W52">
        <v>2</v>
      </c>
      <c r="X52">
        <v>5999</v>
      </c>
      <c r="Y52">
        <f t="shared" si="0"/>
        <v>5974.7000000000007</v>
      </c>
      <c r="Z52">
        <f t="shared" si="1"/>
        <v>24.299999999999272</v>
      </c>
      <c r="AA52">
        <f t="shared" si="2"/>
        <v>42</v>
      </c>
      <c r="AB52" t="str">
        <f t="shared" si="3"/>
        <v>1222</v>
      </c>
      <c r="AC52" t="str">
        <f t="shared" si="4"/>
        <v>1121212</v>
      </c>
    </row>
    <row r="53" spans="1:29" x14ac:dyDescent="0.3">
      <c r="A53">
        <f>_xlfn.XLOOKUP(E53,Date_Dim!B:B,Date_Dim!A:A)</f>
        <v>51</v>
      </c>
      <c r="B53">
        <v>2024</v>
      </c>
      <c r="C53">
        <v>32</v>
      </c>
      <c r="D53">
        <v>2</v>
      </c>
      <c r="E53" s="1">
        <v>45249</v>
      </c>
      <c r="F53">
        <v>11</v>
      </c>
      <c r="G53" s="1">
        <v>45279</v>
      </c>
      <c r="H53" s="1">
        <v>45293</v>
      </c>
      <c r="I53">
        <v>1</v>
      </c>
      <c r="J53">
        <v>2</v>
      </c>
      <c r="K53">
        <v>1459</v>
      </c>
      <c r="L53">
        <v>10</v>
      </c>
      <c r="M53">
        <v>2000</v>
      </c>
      <c r="N53">
        <v>6</v>
      </c>
      <c r="O53">
        <v>1</v>
      </c>
      <c r="P53">
        <v>2</v>
      </c>
      <c r="Q53">
        <v>2</v>
      </c>
      <c r="R53">
        <v>2</v>
      </c>
      <c r="S53">
        <v>6000</v>
      </c>
      <c r="T53">
        <v>2</v>
      </c>
      <c r="U53">
        <v>175</v>
      </c>
      <c r="V53">
        <v>3783.6000000000004</v>
      </c>
      <c r="W53">
        <v>3</v>
      </c>
      <c r="X53">
        <v>9459</v>
      </c>
      <c r="Y53">
        <f t="shared" si="0"/>
        <v>5958.6</v>
      </c>
      <c r="Z53">
        <f t="shared" si="1"/>
        <v>3500.3999999999996</v>
      </c>
      <c r="AA53">
        <f t="shared" si="2"/>
        <v>14</v>
      </c>
      <c r="AB53" t="str">
        <f t="shared" si="3"/>
        <v>22211</v>
      </c>
      <c r="AC53" t="str">
        <f t="shared" si="4"/>
        <v>21212111</v>
      </c>
    </row>
    <row r="54" spans="1:29" x14ac:dyDescent="0.3">
      <c r="A54">
        <f>_xlfn.XLOOKUP(E54,Date_Dim!B:B,Date_Dim!A:A)</f>
        <v>52</v>
      </c>
      <c r="B54">
        <v>2021</v>
      </c>
      <c r="C54">
        <v>33</v>
      </c>
      <c r="D54">
        <v>2</v>
      </c>
      <c r="E54" s="1">
        <v>45461</v>
      </c>
      <c r="F54">
        <v>17</v>
      </c>
      <c r="G54" s="1">
        <v>45491</v>
      </c>
      <c r="H54" s="1">
        <v>45533</v>
      </c>
      <c r="I54">
        <v>4</v>
      </c>
      <c r="J54">
        <v>1</v>
      </c>
      <c r="K54">
        <v>1999</v>
      </c>
      <c r="L54">
        <v>12</v>
      </c>
      <c r="M54">
        <v>1500</v>
      </c>
      <c r="N54">
        <v>11</v>
      </c>
      <c r="O54">
        <v>1</v>
      </c>
      <c r="P54">
        <v>4</v>
      </c>
      <c r="Q54">
        <v>4</v>
      </c>
      <c r="R54">
        <v>4</v>
      </c>
      <c r="S54">
        <v>0</v>
      </c>
      <c r="T54">
        <v>1</v>
      </c>
      <c r="U54">
        <v>0</v>
      </c>
      <c r="V54">
        <v>1049.7</v>
      </c>
      <c r="W54">
        <v>8</v>
      </c>
      <c r="X54">
        <v>3499</v>
      </c>
      <c r="Y54">
        <f t="shared" si="0"/>
        <v>2549.6999999999998</v>
      </c>
      <c r="Z54">
        <f t="shared" si="1"/>
        <v>949.30000000000018</v>
      </c>
      <c r="AA54">
        <f t="shared" si="2"/>
        <v>42</v>
      </c>
      <c r="AB54" t="str">
        <f t="shared" si="3"/>
        <v>41117</v>
      </c>
      <c r="AC54" t="str">
        <f t="shared" si="4"/>
        <v>41111117</v>
      </c>
    </row>
    <row r="55" spans="1:29" x14ac:dyDescent="0.3">
      <c r="A55">
        <f>_xlfn.XLOOKUP(E55,Date_Dim!B:B,Date_Dim!A:A)</f>
        <v>53</v>
      </c>
      <c r="B55">
        <v>2024</v>
      </c>
      <c r="C55">
        <v>33</v>
      </c>
      <c r="D55">
        <v>2</v>
      </c>
      <c r="E55" s="1">
        <v>45056</v>
      </c>
      <c r="F55">
        <v>20</v>
      </c>
      <c r="G55" s="1">
        <v>45086</v>
      </c>
      <c r="H55" s="1">
        <v>45100</v>
      </c>
      <c r="I55">
        <v>1</v>
      </c>
      <c r="J55">
        <v>5</v>
      </c>
      <c r="K55">
        <v>1459</v>
      </c>
      <c r="L55">
        <v>13</v>
      </c>
      <c r="M55">
        <v>3500</v>
      </c>
      <c r="N55">
        <v>20</v>
      </c>
      <c r="O55">
        <v>1</v>
      </c>
      <c r="P55">
        <v>4</v>
      </c>
      <c r="Q55">
        <v>4</v>
      </c>
      <c r="R55">
        <v>4</v>
      </c>
      <c r="S55">
        <v>0</v>
      </c>
      <c r="T55">
        <v>5</v>
      </c>
      <c r="U55">
        <v>155</v>
      </c>
      <c r="V55">
        <v>1487.7000000000003</v>
      </c>
      <c r="W55">
        <v>8</v>
      </c>
      <c r="X55">
        <v>4959</v>
      </c>
      <c r="Y55">
        <f t="shared" si="0"/>
        <v>5142.7000000000007</v>
      </c>
      <c r="Z55">
        <f t="shared" si="1"/>
        <v>-183.70000000000073</v>
      </c>
      <c r="AA55">
        <f t="shared" si="2"/>
        <v>14</v>
      </c>
      <c r="AB55" t="str">
        <f t="shared" si="3"/>
        <v>45520</v>
      </c>
      <c r="AC55" t="str">
        <f t="shared" si="4"/>
        <v>41515120</v>
      </c>
    </row>
    <row r="56" spans="1:29" x14ac:dyDescent="0.3">
      <c r="A56">
        <f>_xlfn.XLOOKUP(E56,Date_Dim!B:B,Date_Dim!A:A)</f>
        <v>54</v>
      </c>
      <c r="B56">
        <v>2022</v>
      </c>
      <c r="C56">
        <v>34</v>
      </c>
      <c r="D56">
        <v>2</v>
      </c>
      <c r="E56" s="1">
        <v>44582</v>
      </c>
      <c r="F56">
        <v>5</v>
      </c>
      <c r="G56" s="1">
        <v>44612</v>
      </c>
      <c r="H56" s="1">
        <v>44668</v>
      </c>
      <c r="I56">
        <v>5</v>
      </c>
      <c r="J56">
        <v>4</v>
      </c>
      <c r="K56">
        <v>2699</v>
      </c>
      <c r="L56">
        <v>5</v>
      </c>
      <c r="M56">
        <v>5000</v>
      </c>
      <c r="N56">
        <v>8</v>
      </c>
      <c r="O56">
        <v>1</v>
      </c>
      <c r="P56">
        <v>5</v>
      </c>
      <c r="Q56">
        <v>5</v>
      </c>
      <c r="R56">
        <v>5</v>
      </c>
      <c r="S56">
        <v>8000</v>
      </c>
      <c r="T56">
        <v>3</v>
      </c>
      <c r="U56">
        <v>125</v>
      </c>
      <c r="V56">
        <v>4709.7000000000007</v>
      </c>
      <c r="W56">
        <v>4</v>
      </c>
      <c r="X56">
        <v>15699</v>
      </c>
      <c r="Y56">
        <f t="shared" si="0"/>
        <v>9834.7000000000007</v>
      </c>
      <c r="Z56">
        <f t="shared" si="1"/>
        <v>5864.2999999999993</v>
      </c>
      <c r="AA56">
        <f t="shared" si="2"/>
        <v>56</v>
      </c>
      <c r="AB56" t="str">
        <f t="shared" si="3"/>
        <v>5435</v>
      </c>
      <c r="AC56" t="str">
        <f t="shared" si="4"/>
        <v>5141315</v>
      </c>
    </row>
    <row r="57" spans="1:29" x14ac:dyDescent="0.3">
      <c r="A57">
        <f>_xlfn.XLOOKUP(E57,Date_Dim!B:B,Date_Dim!A:A)</f>
        <v>55</v>
      </c>
      <c r="B57">
        <v>2023</v>
      </c>
      <c r="C57">
        <v>35</v>
      </c>
      <c r="D57">
        <v>2</v>
      </c>
      <c r="E57" s="1">
        <v>44700</v>
      </c>
      <c r="F57">
        <v>17</v>
      </c>
      <c r="G57" s="1">
        <v>44730</v>
      </c>
      <c r="H57" s="1">
        <v>44772</v>
      </c>
      <c r="I57">
        <v>4</v>
      </c>
      <c r="J57">
        <v>1</v>
      </c>
      <c r="K57">
        <v>1999</v>
      </c>
      <c r="L57">
        <v>12</v>
      </c>
      <c r="M57">
        <v>1500</v>
      </c>
      <c r="N57">
        <v>11</v>
      </c>
      <c r="O57">
        <v>1</v>
      </c>
      <c r="P57">
        <v>4</v>
      </c>
      <c r="Q57">
        <v>4</v>
      </c>
      <c r="R57">
        <v>4</v>
      </c>
      <c r="S57">
        <v>0</v>
      </c>
      <c r="T57">
        <v>1</v>
      </c>
      <c r="U57">
        <v>0</v>
      </c>
      <c r="V57">
        <v>1399.6000000000001</v>
      </c>
      <c r="W57">
        <v>1</v>
      </c>
      <c r="X57">
        <v>3499</v>
      </c>
      <c r="Y57">
        <f t="shared" si="0"/>
        <v>2899.6000000000004</v>
      </c>
      <c r="Z57">
        <f t="shared" si="1"/>
        <v>599.39999999999964</v>
      </c>
      <c r="AA57">
        <f t="shared" si="2"/>
        <v>42</v>
      </c>
      <c r="AB57" t="str">
        <f t="shared" si="3"/>
        <v>41117</v>
      </c>
      <c r="AC57" t="str">
        <f t="shared" si="4"/>
        <v>41111117</v>
      </c>
    </row>
    <row r="58" spans="1:29" x14ac:dyDescent="0.3">
      <c r="A58">
        <f>_xlfn.XLOOKUP(E58,Date_Dim!B:B,Date_Dim!A:A)</f>
        <v>56</v>
      </c>
      <c r="B58">
        <v>2023</v>
      </c>
      <c r="C58">
        <v>36</v>
      </c>
      <c r="D58">
        <v>2</v>
      </c>
      <c r="E58" s="1">
        <v>45374</v>
      </c>
      <c r="F58">
        <v>25</v>
      </c>
      <c r="G58" s="1">
        <v>45404</v>
      </c>
      <c r="H58" s="1">
        <v>45425</v>
      </c>
      <c r="I58">
        <v>2</v>
      </c>
      <c r="J58">
        <v>6</v>
      </c>
      <c r="K58">
        <v>1559</v>
      </c>
      <c r="L58">
        <v>13</v>
      </c>
      <c r="M58">
        <v>5000</v>
      </c>
      <c r="N58">
        <v>20</v>
      </c>
      <c r="O58">
        <v>1</v>
      </c>
      <c r="P58">
        <v>2</v>
      </c>
      <c r="Q58">
        <v>2</v>
      </c>
      <c r="R58">
        <v>2</v>
      </c>
      <c r="S58">
        <v>6000</v>
      </c>
      <c r="T58">
        <v>7</v>
      </c>
      <c r="U58">
        <v>25</v>
      </c>
      <c r="V58">
        <v>3767.7000000000007</v>
      </c>
      <c r="W58">
        <v>3</v>
      </c>
      <c r="X58">
        <v>12559</v>
      </c>
      <c r="Y58">
        <f t="shared" si="0"/>
        <v>8792.7000000000007</v>
      </c>
      <c r="Z58">
        <f t="shared" si="1"/>
        <v>3766.2999999999993</v>
      </c>
      <c r="AA58">
        <f t="shared" si="2"/>
        <v>21</v>
      </c>
      <c r="AB58" t="str">
        <f t="shared" si="3"/>
        <v>26725</v>
      </c>
      <c r="AC58" t="str">
        <f t="shared" si="4"/>
        <v>21617125</v>
      </c>
    </row>
    <row r="59" spans="1:29" x14ac:dyDescent="0.3">
      <c r="A59">
        <f>_xlfn.XLOOKUP(E59,Date_Dim!B:B,Date_Dim!A:A)</f>
        <v>29</v>
      </c>
      <c r="B59">
        <v>2021</v>
      </c>
      <c r="C59">
        <v>37</v>
      </c>
      <c r="D59">
        <v>1</v>
      </c>
      <c r="E59" s="1">
        <v>44683</v>
      </c>
      <c r="F59">
        <v>15</v>
      </c>
      <c r="G59" s="1">
        <v>44713</v>
      </c>
      <c r="H59" s="1">
        <v>44741</v>
      </c>
      <c r="I59">
        <v>3</v>
      </c>
      <c r="J59">
        <v>2</v>
      </c>
      <c r="K59">
        <v>1689</v>
      </c>
      <c r="L59">
        <v>10</v>
      </c>
      <c r="M59">
        <v>2500</v>
      </c>
      <c r="N59">
        <v>6</v>
      </c>
      <c r="O59">
        <v>1</v>
      </c>
      <c r="P59">
        <v>2</v>
      </c>
      <c r="Q59">
        <v>2</v>
      </c>
      <c r="R59">
        <v>2</v>
      </c>
      <c r="S59">
        <v>6000</v>
      </c>
      <c r="T59">
        <v>2</v>
      </c>
      <c r="U59">
        <v>175</v>
      </c>
      <c r="V59">
        <v>3056.7000000000003</v>
      </c>
      <c r="W59">
        <v>3</v>
      </c>
      <c r="X59">
        <v>10189</v>
      </c>
      <c r="Y59">
        <f t="shared" si="0"/>
        <v>5731.7000000000007</v>
      </c>
      <c r="Z59">
        <f t="shared" si="1"/>
        <v>4457.2999999999993</v>
      </c>
      <c r="AA59">
        <f t="shared" si="2"/>
        <v>28</v>
      </c>
      <c r="AB59" t="str">
        <f t="shared" si="3"/>
        <v>22215</v>
      </c>
      <c r="AC59" t="str">
        <f t="shared" si="4"/>
        <v>21212115</v>
      </c>
    </row>
    <row r="60" spans="1:29" x14ac:dyDescent="0.3">
      <c r="A60">
        <f>_xlfn.XLOOKUP(E60,Date_Dim!B:B,Date_Dim!A:A)</f>
        <v>57</v>
      </c>
      <c r="B60">
        <v>2024</v>
      </c>
      <c r="C60">
        <v>37</v>
      </c>
      <c r="D60">
        <v>1</v>
      </c>
      <c r="E60" s="1">
        <v>44641</v>
      </c>
      <c r="F60">
        <v>21</v>
      </c>
      <c r="G60" s="1">
        <v>44671</v>
      </c>
      <c r="H60" s="1">
        <v>44713</v>
      </c>
      <c r="I60">
        <v>4</v>
      </c>
      <c r="J60">
        <v>1</v>
      </c>
      <c r="K60">
        <v>1999</v>
      </c>
      <c r="L60">
        <v>5</v>
      </c>
      <c r="M60">
        <v>3200</v>
      </c>
      <c r="N60">
        <v>8</v>
      </c>
      <c r="O60">
        <v>1</v>
      </c>
      <c r="P60">
        <v>4</v>
      </c>
      <c r="Q60">
        <v>4</v>
      </c>
      <c r="R60">
        <v>4</v>
      </c>
      <c r="S60">
        <v>0</v>
      </c>
      <c r="T60">
        <v>1</v>
      </c>
      <c r="U60">
        <v>0</v>
      </c>
      <c r="V60">
        <v>1559.7000000000003</v>
      </c>
      <c r="W60">
        <v>8</v>
      </c>
      <c r="X60">
        <v>5199</v>
      </c>
      <c r="Y60">
        <f t="shared" si="0"/>
        <v>4759.7000000000007</v>
      </c>
      <c r="Z60">
        <f t="shared" si="1"/>
        <v>439.29999999999927</v>
      </c>
      <c r="AA60">
        <f t="shared" si="2"/>
        <v>42</v>
      </c>
      <c r="AB60" t="str">
        <f t="shared" si="3"/>
        <v>41121</v>
      </c>
      <c r="AC60" t="str">
        <f t="shared" si="4"/>
        <v>41111121</v>
      </c>
    </row>
    <row r="61" spans="1:29" x14ac:dyDescent="0.3">
      <c r="A61">
        <f>_xlfn.XLOOKUP(E61,Date_Dim!B:B,Date_Dim!A:A)</f>
        <v>58</v>
      </c>
      <c r="B61">
        <v>2022</v>
      </c>
      <c r="C61">
        <v>38</v>
      </c>
      <c r="D61">
        <v>1</v>
      </c>
      <c r="E61" s="1">
        <v>45369</v>
      </c>
      <c r="F61">
        <v>7</v>
      </c>
      <c r="G61" s="1">
        <v>45399</v>
      </c>
      <c r="H61" s="1">
        <v>45420</v>
      </c>
      <c r="I61">
        <v>2</v>
      </c>
      <c r="J61">
        <v>3</v>
      </c>
      <c r="K61">
        <v>1559</v>
      </c>
      <c r="L61">
        <v>7</v>
      </c>
      <c r="M61">
        <v>1500</v>
      </c>
      <c r="N61">
        <v>1</v>
      </c>
      <c r="O61">
        <v>1</v>
      </c>
      <c r="P61">
        <v>1</v>
      </c>
      <c r="Q61">
        <v>1</v>
      </c>
      <c r="R61">
        <v>1</v>
      </c>
      <c r="S61">
        <v>0</v>
      </c>
      <c r="T61">
        <v>2</v>
      </c>
      <c r="U61">
        <v>175</v>
      </c>
      <c r="V61">
        <v>917.70000000000016</v>
      </c>
      <c r="W61">
        <v>2</v>
      </c>
      <c r="X61">
        <v>3059</v>
      </c>
      <c r="Y61">
        <f t="shared" si="0"/>
        <v>2592.7000000000003</v>
      </c>
      <c r="Z61">
        <f t="shared" si="1"/>
        <v>466.29999999999973</v>
      </c>
      <c r="AA61">
        <f t="shared" si="2"/>
        <v>21</v>
      </c>
      <c r="AB61" t="str">
        <f t="shared" si="3"/>
        <v>1327</v>
      </c>
      <c r="AC61" t="str">
        <f t="shared" si="4"/>
        <v>1131217</v>
      </c>
    </row>
    <row r="62" spans="1:29" x14ac:dyDescent="0.3">
      <c r="A62">
        <f>_xlfn.XLOOKUP(E62,Date_Dim!B:B,Date_Dim!A:A)</f>
        <v>59</v>
      </c>
      <c r="B62">
        <v>2024</v>
      </c>
      <c r="C62">
        <v>38</v>
      </c>
      <c r="D62">
        <v>1</v>
      </c>
      <c r="E62" s="1">
        <v>44860</v>
      </c>
      <c r="F62">
        <v>11</v>
      </c>
      <c r="G62" s="1">
        <v>44890</v>
      </c>
      <c r="H62" s="1">
        <v>44904</v>
      </c>
      <c r="I62">
        <v>1</v>
      </c>
      <c r="J62">
        <v>2</v>
      </c>
      <c r="K62">
        <v>1459</v>
      </c>
      <c r="L62">
        <v>10</v>
      </c>
      <c r="M62">
        <v>2000</v>
      </c>
      <c r="N62">
        <v>6</v>
      </c>
      <c r="O62">
        <v>1</v>
      </c>
      <c r="P62">
        <v>2</v>
      </c>
      <c r="Q62">
        <v>2</v>
      </c>
      <c r="R62">
        <v>2</v>
      </c>
      <c r="S62">
        <v>6000</v>
      </c>
      <c r="T62">
        <v>2</v>
      </c>
      <c r="U62">
        <v>175</v>
      </c>
      <c r="V62">
        <v>2837.7000000000003</v>
      </c>
      <c r="W62">
        <v>3</v>
      </c>
      <c r="X62">
        <v>9459</v>
      </c>
      <c r="Y62">
        <f t="shared" si="0"/>
        <v>5012.7000000000007</v>
      </c>
      <c r="Z62">
        <f t="shared" si="1"/>
        <v>4446.2999999999993</v>
      </c>
      <c r="AA62">
        <f t="shared" si="2"/>
        <v>14</v>
      </c>
      <c r="AB62" t="str">
        <f t="shared" si="3"/>
        <v>22211</v>
      </c>
      <c r="AC62" t="str">
        <f t="shared" si="4"/>
        <v>21212111</v>
      </c>
    </row>
    <row r="63" spans="1:29" x14ac:dyDescent="0.3">
      <c r="A63">
        <f>_xlfn.XLOOKUP(E63,Date_Dim!B:B,Date_Dim!A:A)</f>
        <v>60</v>
      </c>
      <c r="B63">
        <v>2022</v>
      </c>
      <c r="C63">
        <v>39</v>
      </c>
      <c r="D63">
        <v>1</v>
      </c>
      <c r="E63" s="1">
        <v>44594</v>
      </c>
      <c r="F63">
        <v>26</v>
      </c>
      <c r="G63" s="1">
        <v>44624</v>
      </c>
      <c r="H63" s="1">
        <v>44645</v>
      </c>
      <c r="I63">
        <v>2</v>
      </c>
      <c r="J63">
        <v>6</v>
      </c>
      <c r="K63">
        <v>1559</v>
      </c>
      <c r="L63">
        <v>11</v>
      </c>
      <c r="M63">
        <v>2200</v>
      </c>
      <c r="N63">
        <v>7</v>
      </c>
      <c r="O63">
        <v>1</v>
      </c>
      <c r="P63">
        <v>2</v>
      </c>
      <c r="Q63">
        <v>2</v>
      </c>
      <c r="R63">
        <v>2</v>
      </c>
      <c r="S63">
        <v>6000</v>
      </c>
      <c r="T63">
        <v>7</v>
      </c>
      <c r="U63">
        <v>25</v>
      </c>
      <c r="V63">
        <v>2927.7000000000003</v>
      </c>
      <c r="W63">
        <v>3</v>
      </c>
      <c r="X63">
        <v>9759</v>
      </c>
      <c r="Y63">
        <f t="shared" si="0"/>
        <v>5152.7000000000007</v>
      </c>
      <c r="Z63">
        <f t="shared" si="1"/>
        <v>4606.2999999999993</v>
      </c>
      <c r="AA63">
        <f t="shared" si="2"/>
        <v>21</v>
      </c>
      <c r="AB63" t="str">
        <f t="shared" si="3"/>
        <v>26726</v>
      </c>
      <c r="AC63" t="str">
        <f t="shared" si="4"/>
        <v>21617126</v>
      </c>
    </row>
    <row r="64" spans="1:29" x14ac:dyDescent="0.3">
      <c r="A64">
        <f>_xlfn.XLOOKUP(E64,Date_Dim!B:B,Date_Dim!A:A)</f>
        <v>32</v>
      </c>
      <c r="B64">
        <v>2024</v>
      </c>
      <c r="C64">
        <v>39</v>
      </c>
      <c r="D64">
        <v>1</v>
      </c>
      <c r="E64" s="1">
        <v>43894</v>
      </c>
      <c r="F64">
        <v>6</v>
      </c>
      <c r="G64" s="1">
        <v>43924</v>
      </c>
      <c r="H64" s="1">
        <v>43966</v>
      </c>
      <c r="I64">
        <v>4</v>
      </c>
      <c r="J64">
        <v>4</v>
      </c>
      <c r="K64">
        <v>1999</v>
      </c>
      <c r="L64">
        <v>6</v>
      </c>
      <c r="M64">
        <v>3000</v>
      </c>
      <c r="N64">
        <v>9</v>
      </c>
      <c r="O64">
        <v>1</v>
      </c>
      <c r="P64">
        <v>3</v>
      </c>
      <c r="Q64">
        <v>3</v>
      </c>
      <c r="R64">
        <v>3</v>
      </c>
      <c r="S64">
        <v>2000</v>
      </c>
      <c r="T64">
        <v>4</v>
      </c>
      <c r="U64">
        <v>135</v>
      </c>
      <c r="V64">
        <v>2799.6000000000004</v>
      </c>
      <c r="W64">
        <v>7</v>
      </c>
      <c r="X64">
        <v>6999</v>
      </c>
      <c r="Y64">
        <f t="shared" si="0"/>
        <v>5934.6</v>
      </c>
      <c r="Z64">
        <f t="shared" si="1"/>
        <v>1064.3999999999996</v>
      </c>
      <c r="AA64">
        <f t="shared" si="2"/>
        <v>42</v>
      </c>
      <c r="AB64" t="str">
        <f t="shared" si="3"/>
        <v>3446</v>
      </c>
      <c r="AC64" t="str">
        <f t="shared" si="4"/>
        <v>3141416</v>
      </c>
    </row>
    <row r="65" spans="1:29" x14ac:dyDescent="0.3">
      <c r="A65">
        <f>_xlfn.XLOOKUP(E65,Date_Dim!B:B,Date_Dim!A:A)</f>
        <v>61</v>
      </c>
      <c r="B65">
        <v>2022</v>
      </c>
      <c r="C65">
        <v>40</v>
      </c>
      <c r="D65">
        <v>1</v>
      </c>
      <c r="E65" s="1">
        <v>44774</v>
      </c>
      <c r="F65">
        <v>27</v>
      </c>
      <c r="G65" s="1">
        <v>44804</v>
      </c>
      <c r="H65" s="1">
        <v>44832</v>
      </c>
      <c r="I65">
        <v>3</v>
      </c>
      <c r="J65">
        <v>1</v>
      </c>
      <c r="K65">
        <v>1689</v>
      </c>
      <c r="L65">
        <v>1</v>
      </c>
      <c r="M65">
        <v>4000</v>
      </c>
      <c r="N65">
        <v>15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>
        <v>0</v>
      </c>
      <c r="V65">
        <v>2275.6</v>
      </c>
      <c r="W65">
        <v>1</v>
      </c>
      <c r="X65">
        <v>5689</v>
      </c>
      <c r="Y65">
        <f t="shared" si="0"/>
        <v>6275.6</v>
      </c>
      <c r="Z65">
        <f t="shared" si="1"/>
        <v>-586.60000000000036</v>
      </c>
      <c r="AA65">
        <f t="shared" si="2"/>
        <v>28</v>
      </c>
      <c r="AB65" t="str">
        <f t="shared" si="3"/>
        <v>11127</v>
      </c>
      <c r="AC65" t="str">
        <f t="shared" si="4"/>
        <v>11111127</v>
      </c>
    </row>
    <row r="66" spans="1:29" x14ac:dyDescent="0.3">
      <c r="A66">
        <f>_xlfn.XLOOKUP(E66,Date_Dim!B:B,Date_Dim!A:A)</f>
        <v>62</v>
      </c>
      <c r="B66">
        <v>2023</v>
      </c>
      <c r="C66">
        <v>41</v>
      </c>
      <c r="D66">
        <v>1</v>
      </c>
      <c r="E66" s="1">
        <v>43964</v>
      </c>
      <c r="F66">
        <v>6</v>
      </c>
      <c r="G66" s="1">
        <v>43994</v>
      </c>
      <c r="H66" s="1">
        <v>44036</v>
      </c>
      <c r="I66">
        <v>4</v>
      </c>
      <c r="J66">
        <v>4</v>
      </c>
      <c r="K66">
        <v>1999</v>
      </c>
      <c r="L66">
        <v>6</v>
      </c>
      <c r="M66">
        <v>3000</v>
      </c>
      <c r="N66">
        <v>9</v>
      </c>
      <c r="O66">
        <v>1</v>
      </c>
      <c r="P66">
        <v>4</v>
      </c>
      <c r="Q66">
        <v>4</v>
      </c>
      <c r="R66">
        <v>4</v>
      </c>
      <c r="S66">
        <v>0</v>
      </c>
      <c r="T66">
        <v>4</v>
      </c>
      <c r="U66">
        <v>135</v>
      </c>
      <c r="V66">
        <v>1499.7000000000003</v>
      </c>
      <c r="W66">
        <v>5</v>
      </c>
      <c r="X66">
        <v>4999</v>
      </c>
      <c r="Y66">
        <f t="shared" ref="Y66:Y129" si="5">M66+U66+V66</f>
        <v>4634.7000000000007</v>
      </c>
      <c r="Z66">
        <f t="shared" ref="Z66:Z129" si="6">X66-Y66</f>
        <v>364.29999999999927</v>
      </c>
      <c r="AA66">
        <f t="shared" ref="AA66:AA129" si="7">H66-G66</f>
        <v>42</v>
      </c>
      <c r="AB66" t="str">
        <f t="shared" ref="AB66:AB129" si="8">P66&amp;J66&amp;T66&amp;F66</f>
        <v>4446</v>
      </c>
      <c r="AC66" t="str">
        <f t="shared" ref="AC66:AC129" si="9">P66&amp;"1"&amp;J66&amp;"1"&amp;T66&amp;"1"&amp;F66</f>
        <v>4141416</v>
      </c>
    </row>
    <row r="67" spans="1:29" x14ac:dyDescent="0.3">
      <c r="A67">
        <f>_xlfn.XLOOKUP(E67,Date_Dim!B:B,Date_Dim!A:A)</f>
        <v>63</v>
      </c>
      <c r="B67">
        <v>2024</v>
      </c>
      <c r="C67">
        <v>42</v>
      </c>
      <c r="D67">
        <v>1</v>
      </c>
      <c r="E67" s="1">
        <v>44051</v>
      </c>
      <c r="F67">
        <v>5</v>
      </c>
      <c r="G67" s="1">
        <v>44081</v>
      </c>
      <c r="H67" s="1">
        <v>44137</v>
      </c>
      <c r="I67">
        <v>5</v>
      </c>
      <c r="J67">
        <v>4</v>
      </c>
      <c r="K67">
        <v>2699</v>
      </c>
      <c r="L67">
        <v>5</v>
      </c>
      <c r="M67">
        <v>5000</v>
      </c>
      <c r="N67">
        <v>8</v>
      </c>
      <c r="O67">
        <v>1</v>
      </c>
      <c r="P67">
        <v>3</v>
      </c>
      <c r="Q67">
        <v>3</v>
      </c>
      <c r="R67">
        <v>3</v>
      </c>
      <c r="S67">
        <v>2000</v>
      </c>
      <c r="T67">
        <v>4</v>
      </c>
      <c r="U67">
        <v>135</v>
      </c>
      <c r="V67">
        <v>3879.6000000000004</v>
      </c>
      <c r="W67">
        <v>7</v>
      </c>
      <c r="X67">
        <v>9699</v>
      </c>
      <c r="Y67">
        <f t="shared" si="5"/>
        <v>9014.6</v>
      </c>
      <c r="Z67">
        <f t="shared" si="6"/>
        <v>684.39999999999964</v>
      </c>
      <c r="AA67">
        <f t="shared" si="7"/>
        <v>56</v>
      </c>
      <c r="AB67" t="str">
        <f t="shared" si="8"/>
        <v>3445</v>
      </c>
      <c r="AC67" t="str">
        <f t="shared" si="9"/>
        <v>3141415</v>
      </c>
    </row>
    <row r="68" spans="1:29" x14ac:dyDescent="0.3">
      <c r="A68">
        <f>_xlfn.XLOOKUP(E68,Date_Dim!B:B,Date_Dim!A:A)</f>
        <v>61</v>
      </c>
      <c r="B68">
        <v>2022</v>
      </c>
      <c r="C68">
        <v>42</v>
      </c>
      <c r="D68">
        <v>1</v>
      </c>
      <c r="E68" s="1">
        <v>44774</v>
      </c>
      <c r="F68">
        <v>19</v>
      </c>
      <c r="G68" s="1">
        <v>44804</v>
      </c>
      <c r="H68" s="1">
        <v>44860</v>
      </c>
      <c r="I68">
        <v>5</v>
      </c>
      <c r="J68">
        <v>6</v>
      </c>
      <c r="K68">
        <v>2699</v>
      </c>
      <c r="L68">
        <v>8</v>
      </c>
      <c r="M68">
        <v>3200</v>
      </c>
      <c r="N68">
        <v>2</v>
      </c>
      <c r="O68">
        <v>1</v>
      </c>
      <c r="P68">
        <v>2</v>
      </c>
      <c r="Q68">
        <v>2</v>
      </c>
      <c r="R68">
        <v>2</v>
      </c>
      <c r="S68">
        <v>6000</v>
      </c>
      <c r="T68">
        <v>2</v>
      </c>
      <c r="U68">
        <v>175</v>
      </c>
      <c r="V68">
        <v>4759.6000000000004</v>
      </c>
      <c r="W68">
        <v>3</v>
      </c>
      <c r="X68">
        <v>11899</v>
      </c>
      <c r="Y68">
        <f t="shared" si="5"/>
        <v>8134.6</v>
      </c>
      <c r="Z68">
        <f t="shared" si="6"/>
        <v>3764.3999999999996</v>
      </c>
      <c r="AA68">
        <f t="shared" si="7"/>
        <v>56</v>
      </c>
      <c r="AB68" t="str">
        <f t="shared" si="8"/>
        <v>26219</v>
      </c>
      <c r="AC68" t="str">
        <f t="shared" si="9"/>
        <v>21612119</v>
      </c>
    </row>
    <row r="69" spans="1:29" x14ac:dyDescent="0.3">
      <c r="A69">
        <f>_xlfn.XLOOKUP(E69,Date_Dim!B:B,Date_Dim!A:A)</f>
        <v>64</v>
      </c>
      <c r="B69">
        <v>2023</v>
      </c>
      <c r="C69">
        <v>43</v>
      </c>
      <c r="D69">
        <v>1</v>
      </c>
      <c r="E69" s="1">
        <v>44572</v>
      </c>
      <c r="F69">
        <v>2</v>
      </c>
      <c r="G69" s="1">
        <v>44602</v>
      </c>
      <c r="H69" s="1">
        <v>44644</v>
      </c>
      <c r="I69">
        <v>4</v>
      </c>
      <c r="J69">
        <v>2</v>
      </c>
      <c r="K69">
        <v>1999</v>
      </c>
      <c r="L69">
        <v>2</v>
      </c>
      <c r="M69">
        <v>4000</v>
      </c>
      <c r="N69">
        <v>14</v>
      </c>
      <c r="O69">
        <v>1</v>
      </c>
      <c r="P69">
        <v>1</v>
      </c>
      <c r="Q69">
        <v>1</v>
      </c>
      <c r="R69">
        <v>1</v>
      </c>
      <c r="S69">
        <v>0</v>
      </c>
      <c r="T69">
        <v>2</v>
      </c>
      <c r="U69">
        <v>175</v>
      </c>
      <c r="V69">
        <v>1799.7000000000003</v>
      </c>
      <c r="W69">
        <v>2</v>
      </c>
      <c r="X69">
        <v>5999</v>
      </c>
      <c r="Y69">
        <f t="shared" si="5"/>
        <v>5974.7000000000007</v>
      </c>
      <c r="Z69">
        <f t="shared" si="6"/>
        <v>24.299999999999272</v>
      </c>
      <c r="AA69">
        <f t="shared" si="7"/>
        <v>42</v>
      </c>
      <c r="AB69" t="str">
        <f t="shared" si="8"/>
        <v>1222</v>
      </c>
      <c r="AC69" t="str">
        <f t="shared" si="9"/>
        <v>1121212</v>
      </c>
    </row>
    <row r="70" spans="1:29" x14ac:dyDescent="0.3">
      <c r="A70">
        <f>_xlfn.XLOOKUP(E70,Date_Dim!B:B,Date_Dim!A:A)</f>
        <v>65</v>
      </c>
      <c r="B70">
        <v>2020</v>
      </c>
      <c r="C70">
        <v>43</v>
      </c>
      <c r="D70">
        <v>1</v>
      </c>
      <c r="E70" s="1">
        <v>45411</v>
      </c>
      <c r="F70">
        <v>11</v>
      </c>
      <c r="G70" s="1">
        <v>45441</v>
      </c>
      <c r="H70" s="1">
        <v>45455</v>
      </c>
      <c r="I70">
        <v>1</v>
      </c>
      <c r="J70">
        <v>2</v>
      </c>
      <c r="K70">
        <v>1459</v>
      </c>
      <c r="L70">
        <v>10</v>
      </c>
      <c r="M70">
        <v>2000</v>
      </c>
      <c r="N70">
        <v>6</v>
      </c>
      <c r="O70">
        <v>1</v>
      </c>
      <c r="P70">
        <v>2</v>
      </c>
      <c r="Q70">
        <v>2</v>
      </c>
      <c r="R70">
        <v>2</v>
      </c>
      <c r="S70">
        <v>6000</v>
      </c>
      <c r="T70">
        <v>2</v>
      </c>
      <c r="U70">
        <v>175</v>
      </c>
      <c r="V70">
        <v>2837.7000000000003</v>
      </c>
      <c r="W70">
        <v>3</v>
      </c>
      <c r="X70">
        <v>9459</v>
      </c>
      <c r="Y70">
        <f t="shared" si="5"/>
        <v>5012.7000000000007</v>
      </c>
      <c r="Z70">
        <f t="shared" si="6"/>
        <v>4446.2999999999993</v>
      </c>
      <c r="AA70">
        <f t="shared" si="7"/>
        <v>14</v>
      </c>
      <c r="AB70" t="str">
        <f t="shared" si="8"/>
        <v>22211</v>
      </c>
      <c r="AC70" t="str">
        <f t="shared" si="9"/>
        <v>21212111</v>
      </c>
    </row>
    <row r="71" spans="1:29" x14ac:dyDescent="0.3">
      <c r="A71">
        <f>_xlfn.XLOOKUP(E71,Date_Dim!B:B,Date_Dim!A:A)</f>
        <v>66</v>
      </c>
      <c r="B71">
        <v>2022</v>
      </c>
      <c r="C71">
        <v>44</v>
      </c>
      <c r="D71">
        <v>1</v>
      </c>
      <c r="E71" s="1">
        <v>44132</v>
      </c>
      <c r="F71">
        <v>7</v>
      </c>
      <c r="G71" s="1">
        <v>44162</v>
      </c>
      <c r="H71" s="1">
        <v>44183</v>
      </c>
      <c r="I71">
        <v>2</v>
      </c>
      <c r="J71">
        <v>3</v>
      </c>
      <c r="K71">
        <v>1559</v>
      </c>
      <c r="L71">
        <v>7</v>
      </c>
      <c r="M71">
        <v>1500</v>
      </c>
      <c r="N71">
        <v>1</v>
      </c>
      <c r="O71">
        <v>1</v>
      </c>
      <c r="P71">
        <v>1</v>
      </c>
      <c r="Q71">
        <v>1</v>
      </c>
      <c r="R71">
        <v>1</v>
      </c>
      <c r="S71">
        <v>0</v>
      </c>
      <c r="T71">
        <v>2</v>
      </c>
      <c r="U71">
        <v>175</v>
      </c>
      <c r="V71">
        <v>1223.6000000000001</v>
      </c>
      <c r="W71">
        <v>2</v>
      </c>
      <c r="X71">
        <v>3059</v>
      </c>
      <c r="Y71">
        <f t="shared" si="5"/>
        <v>2898.6000000000004</v>
      </c>
      <c r="Z71">
        <f t="shared" si="6"/>
        <v>160.39999999999964</v>
      </c>
      <c r="AA71">
        <f t="shared" si="7"/>
        <v>21</v>
      </c>
      <c r="AB71" t="str">
        <f t="shared" si="8"/>
        <v>1327</v>
      </c>
      <c r="AC71" t="str">
        <f t="shared" si="9"/>
        <v>1131217</v>
      </c>
    </row>
    <row r="72" spans="1:29" x14ac:dyDescent="0.3">
      <c r="A72">
        <f>_xlfn.XLOOKUP(E72,Date_Dim!B:B,Date_Dim!A:A)</f>
        <v>67</v>
      </c>
      <c r="B72">
        <v>2024</v>
      </c>
      <c r="C72">
        <v>44</v>
      </c>
      <c r="D72">
        <v>1</v>
      </c>
      <c r="E72" s="1">
        <v>44642</v>
      </c>
      <c r="F72">
        <v>11</v>
      </c>
      <c r="G72" s="1">
        <v>44672</v>
      </c>
      <c r="H72" s="1">
        <v>44686</v>
      </c>
      <c r="I72">
        <v>1</v>
      </c>
      <c r="J72">
        <v>2</v>
      </c>
      <c r="K72">
        <v>1459</v>
      </c>
      <c r="L72">
        <v>10</v>
      </c>
      <c r="M72">
        <v>2000</v>
      </c>
      <c r="N72">
        <v>6</v>
      </c>
      <c r="O72">
        <v>1</v>
      </c>
      <c r="P72">
        <v>2</v>
      </c>
      <c r="Q72">
        <v>2</v>
      </c>
      <c r="R72">
        <v>2</v>
      </c>
      <c r="S72">
        <v>6000</v>
      </c>
      <c r="T72">
        <v>2</v>
      </c>
      <c r="U72">
        <v>175</v>
      </c>
      <c r="V72">
        <v>2837.7000000000003</v>
      </c>
      <c r="W72">
        <v>3</v>
      </c>
      <c r="X72">
        <v>9459</v>
      </c>
      <c r="Y72">
        <f t="shared" si="5"/>
        <v>5012.7000000000007</v>
      </c>
      <c r="Z72">
        <f t="shared" si="6"/>
        <v>4446.2999999999993</v>
      </c>
      <c r="AA72">
        <f t="shared" si="7"/>
        <v>14</v>
      </c>
      <c r="AB72" t="str">
        <f t="shared" si="8"/>
        <v>22211</v>
      </c>
      <c r="AC72" t="str">
        <f t="shared" si="9"/>
        <v>21212111</v>
      </c>
    </row>
    <row r="73" spans="1:29" x14ac:dyDescent="0.3">
      <c r="A73">
        <f>_xlfn.XLOOKUP(E73,Date_Dim!B:B,Date_Dim!A:A)</f>
        <v>68</v>
      </c>
      <c r="B73">
        <v>2021</v>
      </c>
      <c r="C73">
        <v>45</v>
      </c>
      <c r="D73">
        <v>1</v>
      </c>
      <c r="E73" s="1">
        <v>45346</v>
      </c>
      <c r="F73">
        <v>5</v>
      </c>
      <c r="G73" s="1">
        <v>45376</v>
      </c>
      <c r="H73" s="1">
        <v>45432</v>
      </c>
      <c r="I73">
        <v>5</v>
      </c>
      <c r="J73">
        <v>4</v>
      </c>
      <c r="K73">
        <v>2699</v>
      </c>
      <c r="L73">
        <v>5</v>
      </c>
      <c r="M73">
        <v>5000</v>
      </c>
      <c r="N73">
        <v>8</v>
      </c>
      <c r="O73">
        <v>1</v>
      </c>
      <c r="P73">
        <v>5</v>
      </c>
      <c r="Q73">
        <v>5</v>
      </c>
      <c r="R73">
        <v>5</v>
      </c>
      <c r="S73">
        <v>8000</v>
      </c>
      <c r="T73">
        <v>3</v>
      </c>
      <c r="U73">
        <v>125</v>
      </c>
      <c r="V73">
        <v>4709.7000000000007</v>
      </c>
      <c r="W73">
        <v>9</v>
      </c>
      <c r="X73">
        <v>15699</v>
      </c>
      <c r="Y73">
        <f t="shared" si="5"/>
        <v>9834.7000000000007</v>
      </c>
      <c r="Z73">
        <f t="shared" si="6"/>
        <v>5864.2999999999993</v>
      </c>
      <c r="AA73">
        <f t="shared" si="7"/>
        <v>56</v>
      </c>
      <c r="AB73" t="str">
        <f t="shared" si="8"/>
        <v>5435</v>
      </c>
      <c r="AC73" t="str">
        <f t="shared" si="9"/>
        <v>5141315</v>
      </c>
    </row>
    <row r="74" spans="1:29" x14ac:dyDescent="0.3">
      <c r="A74">
        <f>_xlfn.XLOOKUP(E74,Date_Dim!B:B,Date_Dim!A:A)</f>
        <v>69</v>
      </c>
      <c r="B74">
        <v>2023</v>
      </c>
      <c r="C74">
        <v>46</v>
      </c>
      <c r="D74">
        <v>1</v>
      </c>
      <c r="E74" s="1">
        <v>44275</v>
      </c>
      <c r="F74">
        <v>6</v>
      </c>
      <c r="G74" s="1">
        <v>44305</v>
      </c>
      <c r="H74" s="1">
        <v>44347</v>
      </c>
      <c r="I74">
        <v>4</v>
      </c>
      <c r="J74">
        <v>4</v>
      </c>
      <c r="K74">
        <v>1999</v>
      </c>
      <c r="L74">
        <v>6</v>
      </c>
      <c r="M74">
        <v>3000</v>
      </c>
      <c r="N74">
        <v>9</v>
      </c>
      <c r="O74">
        <v>1</v>
      </c>
      <c r="P74">
        <v>4</v>
      </c>
      <c r="Q74">
        <v>4</v>
      </c>
      <c r="R74">
        <v>4</v>
      </c>
      <c r="S74">
        <v>0</v>
      </c>
      <c r="T74">
        <v>4</v>
      </c>
      <c r="U74">
        <v>135</v>
      </c>
      <c r="V74">
        <v>1999.6000000000001</v>
      </c>
      <c r="W74">
        <v>5</v>
      </c>
      <c r="X74">
        <v>4999</v>
      </c>
      <c r="Y74">
        <f t="shared" si="5"/>
        <v>5134.6000000000004</v>
      </c>
      <c r="Z74">
        <f t="shared" si="6"/>
        <v>-135.60000000000036</v>
      </c>
      <c r="AA74">
        <f t="shared" si="7"/>
        <v>42</v>
      </c>
      <c r="AB74" t="str">
        <f t="shared" si="8"/>
        <v>4446</v>
      </c>
      <c r="AC74" t="str">
        <f t="shared" si="9"/>
        <v>4141416</v>
      </c>
    </row>
    <row r="75" spans="1:29" x14ac:dyDescent="0.3">
      <c r="A75">
        <f>_xlfn.XLOOKUP(E75,Date_Dim!B:B,Date_Dim!A:A)</f>
        <v>70</v>
      </c>
      <c r="B75">
        <v>2022</v>
      </c>
      <c r="C75">
        <v>47</v>
      </c>
      <c r="D75">
        <v>1</v>
      </c>
      <c r="E75" s="1">
        <v>44463</v>
      </c>
      <c r="F75">
        <v>13</v>
      </c>
      <c r="G75" s="1">
        <v>44493</v>
      </c>
      <c r="H75" s="1">
        <v>44514</v>
      </c>
      <c r="I75">
        <v>2</v>
      </c>
      <c r="J75">
        <v>6</v>
      </c>
      <c r="K75">
        <v>1559</v>
      </c>
      <c r="L75">
        <v>11</v>
      </c>
      <c r="M75">
        <v>2500</v>
      </c>
      <c r="N75">
        <v>7</v>
      </c>
      <c r="O75">
        <v>1</v>
      </c>
      <c r="P75">
        <v>2</v>
      </c>
      <c r="Q75">
        <v>2</v>
      </c>
      <c r="R75">
        <v>2</v>
      </c>
      <c r="S75">
        <v>6000</v>
      </c>
      <c r="T75">
        <v>7</v>
      </c>
      <c r="U75">
        <v>25</v>
      </c>
      <c r="V75">
        <v>4023.6000000000004</v>
      </c>
      <c r="W75">
        <v>3</v>
      </c>
      <c r="X75">
        <v>10059</v>
      </c>
      <c r="Y75">
        <f t="shared" si="5"/>
        <v>6548.6</v>
      </c>
      <c r="Z75">
        <f t="shared" si="6"/>
        <v>3510.3999999999996</v>
      </c>
      <c r="AA75">
        <f t="shared" si="7"/>
        <v>21</v>
      </c>
      <c r="AB75" t="str">
        <f t="shared" si="8"/>
        <v>26713</v>
      </c>
      <c r="AC75" t="str">
        <f t="shared" si="9"/>
        <v>21617113</v>
      </c>
    </row>
    <row r="76" spans="1:29" x14ac:dyDescent="0.3">
      <c r="A76">
        <f>_xlfn.XLOOKUP(E76,Date_Dim!B:B,Date_Dim!A:A)</f>
        <v>71</v>
      </c>
      <c r="B76">
        <v>2022</v>
      </c>
      <c r="C76">
        <v>48</v>
      </c>
      <c r="D76">
        <v>1</v>
      </c>
      <c r="E76" s="1">
        <v>44072</v>
      </c>
      <c r="F76">
        <v>1</v>
      </c>
      <c r="G76" s="1">
        <v>44102</v>
      </c>
      <c r="H76" s="1">
        <v>44116</v>
      </c>
      <c r="I76">
        <v>1</v>
      </c>
      <c r="J76">
        <v>1</v>
      </c>
      <c r="K76">
        <v>1459</v>
      </c>
      <c r="L76">
        <v>1</v>
      </c>
      <c r="M76">
        <v>3000</v>
      </c>
      <c r="N76">
        <v>15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0</v>
      </c>
      <c r="V76">
        <v>1783.6000000000001</v>
      </c>
      <c r="W76">
        <v>1</v>
      </c>
      <c r="X76">
        <v>4459</v>
      </c>
      <c r="Y76">
        <f t="shared" si="5"/>
        <v>4783.6000000000004</v>
      </c>
      <c r="Z76">
        <f t="shared" si="6"/>
        <v>-324.60000000000036</v>
      </c>
      <c r="AA76">
        <f t="shared" si="7"/>
        <v>14</v>
      </c>
      <c r="AB76" t="str">
        <f t="shared" si="8"/>
        <v>1111</v>
      </c>
      <c r="AC76" t="str">
        <f t="shared" si="9"/>
        <v>1111111</v>
      </c>
    </row>
    <row r="77" spans="1:29" x14ac:dyDescent="0.3">
      <c r="A77">
        <f>_xlfn.XLOOKUP(E77,Date_Dim!B:B,Date_Dim!A:A)</f>
        <v>72</v>
      </c>
      <c r="B77">
        <v>2024</v>
      </c>
      <c r="C77">
        <v>47</v>
      </c>
      <c r="D77">
        <v>1</v>
      </c>
      <c r="E77" s="1">
        <v>44915</v>
      </c>
      <c r="F77">
        <v>6</v>
      </c>
      <c r="G77" s="1">
        <v>44945</v>
      </c>
      <c r="H77" s="1">
        <v>44987</v>
      </c>
      <c r="I77">
        <v>4</v>
      </c>
      <c r="J77">
        <v>4</v>
      </c>
      <c r="K77">
        <v>1999</v>
      </c>
      <c r="L77">
        <v>6</v>
      </c>
      <c r="M77">
        <v>3000</v>
      </c>
      <c r="N77">
        <v>9</v>
      </c>
      <c r="O77">
        <v>1</v>
      </c>
      <c r="P77">
        <v>3</v>
      </c>
      <c r="Q77">
        <v>3</v>
      </c>
      <c r="R77">
        <v>3</v>
      </c>
      <c r="S77">
        <v>2000</v>
      </c>
      <c r="T77">
        <v>4</v>
      </c>
      <c r="U77">
        <v>135</v>
      </c>
      <c r="V77">
        <v>2799.6000000000004</v>
      </c>
      <c r="W77">
        <v>7</v>
      </c>
      <c r="X77">
        <v>6999</v>
      </c>
      <c r="Y77">
        <f t="shared" si="5"/>
        <v>5934.6</v>
      </c>
      <c r="Z77">
        <f t="shared" si="6"/>
        <v>1064.3999999999996</v>
      </c>
      <c r="AA77">
        <f t="shared" si="7"/>
        <v>42</v>
      </c>
      <c r="AB77" t="str">
        <f t="shared" si="8"/>
        <v>3446</v>
      </c>
      <c r="AC77" t="str">
        <f t="shared" si="9"/>
        <v>3141416</v>
      </c>
    </row>
    <row r="78" spans="1:29" x14ac:dyDescent="0.3">
      <c r="A78">
        <f>_xlfn.XLOOKUP(E78,Date_Dim!B:B,Date_Dim!A:A)</f>
        <v>73</v>
      </c>
      <c r="B78">
        <v>2024</v>
      </c>
      <c r="C78">
        <v>49</v>
      </c>
      <c r="D78">
        <v>1</v>
      </c>
      <c r="E78" s="1">
        <v>45137</v>
      </c>
      <c r="F78">
        <v>26</v>
      </c>
      <c r="G78" s="1">
        <v>45167</v>
      </c>
      <c r="H78" s="1">
        <v>45188</v>
      </c>
      <c r="I78">
        <v>2</v>
      </c>
      <c r="J78">
        <v>6</v>
      </c>
      <c r="K78">
        <v>1559</v>
      </c>
      <c r="L78">
        <v>11</v>
      </c>
      <c r="M78">
        <v>2200</v>
      </c>
      <c r="N78">
        <v>7</v>
      </c>
      <c r="O78">
        <v>1</v>
      </c>
      <c r="P78">
        <v>2</v>
      </c>
      <c r="Q78">
        <v>2</v>
      </c>
      <c r="R78">
        <v>2</v>
      </c>
      <c r="S78">
        <v>6000</v>
      </c>
      <c r="T78">
        <v>7</v>
      </c>
      <c r="U78">
        <v>25</v>
      </c>
      <c r="V78">
        <v>3903.6000000000004</v>
      </c>
      <c r="W78">
        <v>3</v>
      </c>
      <c r="X78">
        <v>9759</v>
      </c>
      <c r="Y78">
        <f t="shared" si="5"/>
        <v>6128.6</v>
      </c>
      <c r="Z78">
        <f t="shared" si="6"/>
        <v>3630.3999999999996</v>
      </c>
      <c r="AA78">
        <f t="shared" si="7"/>
        <v>21</v>
      </c>
      <c r="AB78" t="str">
        <f t="shared" si="8"/>
        <v>26726</v>
      </c>
      <c r="AC78" t="str">
        <f t="shared" si="9"/>
        <v>21617126</v>
      </c>
    </row>
    <row r="79" spans="1:29" x14ac:dyDescent="0.3">
      <c r="A79">
        <f>_xlfn.XLOOKUP(E79,Date_Dim!B:B,Date_Dim!A:A)</f>
        <v>74</v>
      </c>
      <c r="B79">
        <v>2022</v>
      </c>
      <c r="C79">
        <v>49</v>
      </c>
      <c r="D79">
        <v>1</v>
      </c>
      <c r="E79" s="1">
        <v>44398</v>
      </c>
      <c r="F79">
        <v>18</v>
      </c>
      <c r="G79" s="1">
        <v>44428</v>
      </c>
      <c r="H79" s="1">
        <v>44456</v>
      </c>
      <c r="I79">
        <v>3</v>
      </c>
      <c r="J79">
        <v>2</v>
      </c>
      <c r="K79">
        <v>1689</v>
      </c>
      <c r="L79">
        <v>10</v>
      </c>
      <c r="M79">
        <v>2500</v>
      </c>
      <c r="N79">
        <v>6</v>
      </c>
      <c r="O79">
        <v>1</v>
      </c>
      <c r="P79">
        <v>2</v>
      </c>
      <c r="Q79">
        <v>2</v>
      </c>
      <c r="R79">
        <v>2</v>
      </c>
      <c r="S79">
        <v>6000</v>
      </c>
      <c r="T79">
        <v>2</v>
      </c>
      <c r="U79">
        <v>175</v>
      </c>
      <c r="V79">
        <v>3056.7000000000003</v>
      </c>
      <c r="W79">
        <v>3</v>
      </c>
      <c r="X79">
        <v>10189</v>
      </c>
      <c r="Y79">
        <f t="shared" si="5"/>
        <v>5731.7000000000007</v>
      </c>
      <c r="Z79">
        <f t="shared" si="6"/>
        <v>4457.2999999999993</v>
      </c>
      <c r="AA79">
        <f t="shared" si="7"/>
        <v>28</v>
      </c>
      <c r="AB79" t="str">
        <f t="shared" si="8"/>
        <v>22218</v>
      </c>
      <c r="AC79" t="str">
        <f t="shared" si="9"/>
        <v>21212118</v>
      </c>
    </row>
    <row r="80" spans="1:29" x14ac:dyDescent="0.3">
      <c r="A80">
        <f>_xlfn.XLOOKUP(E80,Date_Dim!B:B,Date_Dim!A:A)</f>
        <v>75</v>
      </c>
      <c r="B80">
        <v>2022</v>
      </c>
      <c r="C80">
        <v>50</v>
      </c>
      <c r="D80">
        <v>1</v>
      </c>
      <c r="E80" s="1">
        <v>44447</v>
      </c>
      <c r="F80">
        <v>9</v>
      </c>
      <c r="G80" s="1">
        <v>44477</v>
      </c>
      <c r="H80" s="1">
        <v>44533</v>
      </c>
      <c r="I80">
        <v>5</v>
      </c>
      <c r="J80">
        <v>3</v>
      </c>
      <c r="K80">
        <v>2699</v>
      </c>
      <c r="L80">
        <v>3</v>
      </c>
      <c r="M80">
        <v>3500</v>
      </c>
      <c r="N80">
        <v>12</v>
      </c>
      <c r="O80">
        <v>1</v>
      </c>
      <c r="P80">
        <v>1</v>
      </c>
      <c r="Q80">
        <v>1</v>
      </c>
      <c r="R80">
        <v>1</v>
      </c>
      <c r="S80">
        <v>0</v>
      </c>
      <c r="T80">
        <v>6</v>
      </c>
      <c r="U80">
        <v>120</v>
      </c>
      <c r="V80">
        <v>2479.6000000000004</v>
      </c>
      <c r="W80">
        <v>1</v>
      </c>
      <c r="X80">
        <v>6199</v>
      </c>
      <c r="Y80">
        <f t="shared" si="5"/>
        <v>6099.6</v>
      </c>
      <c r="Z80">
        <f t="shared" si="6"/>
        <v>99.399999999999636</v>
      </c>
      <c r="AA80">
        <f t="shared" si="7"/>
        <v>56</v>
      </c>
      <c r="AB80" t="str">
        <f t="shared" si="8"/>
        <v>1369</v>
      </c>
      <c r="AC80" t="str">
        <f t="shared" si="9"/>
        <v>1131619</v>
      </c>
    </row>
    <row r="81" spans="1:29" x14ac:dyDescent="0.3">
      <c r="A81">
        <f>_xlfn.XLOOKUP(E81,Date_Dim!B:B,Date_Dim!A:A)</f>
        <v>76</v>
      </c>
      <c r="B81">
        <v>2024</v>
      </c>
      <c r="C81">
        <v>50</v>
      </c>
      <c r="D81">
        <v>1</v>
      </c>
      <c r="E81" s="1">
        <v>45134</v>
      </c>
      <c r="F81">
        <v>6</v>
      </c>
      <c r="G81" s="1">
        <v>45164</v>
      </c>
      <c r="H81" s="1">
        <v>45206</v>
      </c>
      <c r="I81">
        <v>4</v>
      </c>
      <c r="J81">
        <v>4</v>
      </c>
      <c r="K81">
        <v>1999</v>
      </c>
      <c r="L81">
        <v>6</v>
      </c>
      <c r="M81">
        <v>3000</v>
      </c>
      <c r="N81">
        <v>9</v>
      </c>
      <c r="O81">
        <v>1</v>
      </c>
      <c r="P81">
        <v>3</v>
      </c>
      <c r="Q81">
        <v>3</v>
      </c>
      <c r="R81">
        <v>3</v>
      </c>
      <c r="S81">
        <v>2000</v>
      </c>
      <c r="T81">
        <v>4</v>
      </c>
      <c r="U81">
        <v>135</v>
      </c>
      <c r="V81">
        <v>2099.7000000000003</v>
      </c>
      <c r="W81">
        <v>7</v>
      </c>
      <c r="X81">
        <v>6999</v>
      </c>
      <c r="Y81">
        <f t="shared" si="5"/>
        <v>5234.7000000000007</v>
      </c>
      <c r="Z81">
        <f t="shared" si="6"/>
        <v>1764.2999999999993</v>
      </c>
      <c r="AA81">
        <f t="shared" si="7"/>
        <v>42</v>
      </c>
      <c r="AB81" t="str">
        <f t="shared" si="8"/>
        <v>3446</v>
      </c>
      <c r="AC81" t="str">
        <f t="shared" si="9"/>
        <v>3141416</v>
      </c>
    </row>
    <row r="82" spans="1:29" x14ac:dyDescent="0.3">
      <c r="A82">
        <f>_xlfn.XLOOKUP(E82,Date_Dim!B:B,Date_Dim!A:A)</f>
        <v>77</v>
      </c>
      <c r="B82">
        <v>2023</v>
      </c>
      <c r="C82">
        <v>51</v>
      </c>
      <c r="D82">
        <v>1</v>
      </c>
      <c r="E82" s="1">
        <v>45030</v>
      </c>
      <c r="F82">
        <v>15</v>
      </c>
      <c r="G82" s="1">
        <v>45060</v>
      </c>
      <c r="H82" s="1">
        <v>45088</v>
      </c>
      <c r="I82">
        <v>3</v>
      </c>
      <c r="J82">
        <v>2</v>
      </c>
      <c r="K82">
        <v>1689</v>
      </c>
      <c r="L82">
        <v>10</v>
      </c>
      <c r="M82">
        <v>2500</v>
      </c>
      <c r="N82">
        <v>6</v>
      </c>
      <c r="O82">
        <v>1</v>
      </c>
      <c r="P82">
        <v>2</v>
      </c>
      <c r="Q82">
        <v>2</v>
      </c>
      <c r="R82">
        <v>2</v>
      </c>
      <c r="S82">
        <v>6000</v>
      </c>
      <c r="T82">
        <v>2</v>
      </c>
      <c r="U82">
        <v>175</v>
      </c>
      <c r="V82">
        <v>4075.6000000000004</v>
      </c>
      <c r="W82">
        <v>3</v>
      </c>
      <c r="X82">
        <v>10189</v>
      </c>
      <c r="Y82">
        <f t="shared" si="5"/>
        <v>6750.6</v>
      </c>
      <c r="Z82">
        <f t="shared" si="6"/>
        <v>3438.3999999999996</v>
      </c>
      <c r="AA82">
        <f t="shared" si="7"/>
        <v>28</v>
      </c>
      <c r="AB82" t="str">
        <f t="shared" si="8"/>
        <v>22215</v>
      </c>
      <c r="AC82" t="str">
        <f t="shared" si="9"/>
        <v>21212115</v>
      </c>
    </row>
    <row r="83" spans="1:29" x14ac:dyDescent="0.3">
      <c r="A83">
        <f>_xlfn.XLOOKUP(E83,Date_Dim!B:B,Date_Dim!A:A)</f>
        <v>78</v>
      </c>
      <c r="B83">
        <v>2020</v>
      </c>
      <c r="C83">
        <v>51</v>
      </c>
      <c r="D83">
        <v>1</v>
      </c>
      <c r="E83" s="1">
        <v>44707</v>
      </c>
      <c r="F83">
        <v>13</v>
      </c>
      <c r="G83" s="1">
        <v>44737</v>
      </c>
      <c r="H83" s="1">
        <v>44758</v>
      </c>
      <c r="I83">
        <v>2</v>
      </c>
      <c r="J83">
        <v>6</v>
      </c>
      <c r="K83">
        <v>1559</v>
      </c>
      <c r="L83">
        <v>11</v>
      </c>
      <c r="M83">
        <v>2500</v>
      </c>
      <c r="N83">
        <v>7</v>
      </c>
      <c r="O83">
        <v>1</v>
      </c>
      <c r="P83">
        <v>2</v>
      </c>
      <c r="Q83">
        <v>2</v>
      </c>
      <c r="R83">
        <v>2</v>
      </c>
      <c r="S83">
        <v>6000</v>
      </c>
      <c r="T83">
        <v>7</v>
      </c>
      <c r="U83">
        <v>25</v>
      </c>
      <c r="V83">
        <v>4023.6000000000004</v>
      </c>
      <c r="W83">
        <v>3</v>
      </c>
      <c r="X83">
        <v>10059</v>
      </c>
      <c r="Y83">
        <f t="shared" si="5"/>
        <v>6548.6</v>
      </c>
      <c r="Z83">
        <f t="shared" si="6"/>
        <v>3510.3999999999996</v>
      </c>
      <c r="AA83">
        <f t="shared" si="7"/>
        <v>21</v>
      </c>
      <c r="AB83" t="str">
        <f t="shared" si="8"/>
        <v>26713</v>
      </c>
      <c r="AC83" t="str">
        <f t="shared" si="9"/>
        <v>21617113</v>
      </c>
    </row>
    <row r="84" spans="1:29" x14ac:dyDescent="0.3">
      <c r="A84">
        <f>_xlfn.XLOOKUP(E84,Date_Dim!B:B,Date_Dim!A:A)</f>
        <v>79</v>
      </c>
      <c r="B84">
        <v>2021</v>
      </c>
      <c r="C84">
        <v>52</v>
      </c>
      <c r="D84">
        <v>1</v>
      </c>
      <c r="E84" s="1">
        <v>43947</v>
      </c>
      <c r="F84">
        <v>15</v>
      </c>
      <c r="G84" s="1">
        <v>43977</v>
      </c>
      <c r="H84" s="1">
        <v>44005</v>
      </c>
      <c r="I84">
        <v>3</v>
      </c>
      <c r="J84">
        <v>2</v>
      </c>
      <c r="K84">
        <v>1689</v>
      </c>
      <c r="L84">
        <v>10</v>
      </c>
      <c r="M84">
        <v>2500</v>
      </c>
      <c r="N84">
        <v>6</v>
      </c>
      <c r="O84">
        <v>1</v>
      </c>
      <c r="P84">
        <v>2</v>
      </c>
      <c r="Q84">
        <v>2</v>
      </c>
      <c r="R84">
        <v>2</v>
      </c>
      <c r="S84">
        <v>6000</v>
      </c>
      <c r="T84">
        <v>2</v>
      </c>
      <c r="U84">
        <v>175</v>
      </c>
      <c r="V84">
        <v>3056.7000000000003</v>
      </c>
      <c r="W84">
        <v>3</v>
      </c>
      <c r="X84">
        <v>10189</v>
      </c>
      <c r="Y84">
        <f t="shared" si="5"/>
        <v>5731.7000000000007</v>
      </c>
      <c r="Z84">
        <f t="shared" si="6"/>
        <v>4457.2999999999993</v>
      </c>
      <c r="AA84">
        <f t="shared" si="7"/>
        <v>28</v>
      </c>
      <c r="AB84" t="str">
        <f t="shared" si="8"/>
        <v>22215</v>
      </c>
      <c r="AC84" t="str">
        <f t="shared" si="9"/>
        <v>21212115</v>
      </c>
    </row>
    <row r="85" spans="1:29" x14ac:dyDescent="0.3">
      <c r="A85">
        <f>_xlfn.XLOOKUP(E85,Date_Dim!B:B,Date_Dim!A:A)</f>
        <v>80</v>
      </c>
      <c r="B85">
        <v>2024</v>
      </c>
      <c r="C85">
        <v>52</v>
      </c>
      <c r="D85">
        <v>1</v>
      </c>
      <c r="E85" s="1">
        <v>44838</v>
      </c>
      <c r="F85">
        <v>21</v>
      </c>
      <c r="G85" s="1">
        <v>44868</v>
      </c>
      <c r="H85" s="1">
        <v>44910</v>
      </c>
      <c r="I85">
        <v>4</v>
      </c>
      <c r="J85">
        <v>1</v>
      </c>
      <c r="K85">
        <v>1999</v>
      </c>
      <c r="L85">
        <v>5</v>
      </c>
      <c r="M85">
        <v>3200</v>
      </c>
      <c r="N85">
        <v>8</v>
      </c>
      <c r="O85">
        <v>1</v>
      </c>
      <c r="P85">
        <v>4</v>
      </c>
      <c r="Q85">
        <v>4</v>
      </c>
      <c r="R85">
        <v>4</v>
      </c>
      <c r="S85">
        <v>0</v>
      </c>
      <c r="T85">
        <v>1</v>
      </c>
      <c r="U85">
        <v>0</v>
      </c>
      <c r="V85">
        <v>2079.6</v>
      </c>
      <c r="W85">
        <v>8</v>
      </c>
      <c r="X85">
        <v>5199</v>
      </c>
      <c r="Y85">
        <f t="shared" si="5"/>
        <v>5279.6</v>
      </c>
      <c r="Z85">
        <f t="shared" si="6"/>
        <v>-80.600000000000364</v>
      </c>
      <c r="AA85">
        <f t="shared" si="7"/>
        <v>42</v>
      </c>
      <c r="AB85" t="str">
        <f t="shared" si="8"/>
        <v>41121</v>
      </c>
      <c r="AC85" t="str">
        <f t="shared" si="9"/>
        <v>41111121</v>
      </c>
    </row>
    <row r="86" spans="1:29" x14ac:dyDescent="0.3">
      <c r="A86">
        <f>_xlfn.XLOOKUP(E86,Date_Dim!B:B,Date_Dim!A:A)</f>
        <v>81</v>
      </c>
      <c r="B86">
        <v>2020</v>
      </c>
      <c r="C86">
        <v>53</v>
      </c>
      <c r="D86">
        <v>1</v>
      </c>
      <c r="E86" s="1">
        <v>45142</v>
      </c>
      <c r="F86">
        <v>15</v>
      </c>
      <c r="G86" s="1">
        <v>45172</v>
      </c>
      <c r="H86" s="1">
        <v>45200</v>
      </c>
      <c r="I86">
        <v>3</v>
      </c>
      <c r="J86">
        <v>2</v>
      </c>
      <c r="K86">
        <v>1689</v>
      </c>
      <c r="L86">
        <v>10</v>
      </c>
      <c r="M86">
        <v>2500</v>
      </c>
      <c r="N86">
        <v>6</v>
      </c>
      <c r="O86">
        <v>1</v>
      </c>
      <c r="P86">
        <v>2</v>
      </c>
      <c r="Q86">
        <v>2</v>
      </c>
      <c r="R86">
        <v>2</v>
      </c>
      <c r="S86">
        <v>6000</v>
      </c>
      <c r="T86">
        <v>2</v>
      </c>
      <c r="U86">
        <v>175</v>
      </c>
      <c r="V86">
        <v>4075.6000000000004</v>
      </c>
      <c r="W86">
        <v>3</v>
      </c>
      <c r="X86">
        <v>10189</v>
      </c>
      <c r="Y86">
        <f t="shared" si="5"/>
        <v>6750.6</v>
      </c>
      <c r="Z86">
        <f t="shared" si="6"/>
        <v>3438.3999999999996</v>
      </c>
      <c r="AA86">
        <f t="shared" si="7"/>
        <v>28</v>
      </c>
      <c r="AB86" t="str">
        <f t="shared" si="8"/>
        <v>22215</v>
      </c>
      <c r="AC86" t="str">
        <f t="shared" si="9"/>
        <v>21212115</v>
      </c>
    </row>
    <row r="87" spans="1:29" x14ac:dyDescent="0.3">
      <c r="A87">
        <f>_xlfn.XLOOKUP(E87,Date_Dim!B:B,Date_Dim!A:A)</f>
        <v>82</v>
      </c>
      <c r="B87">
        <v>2022</v>
      </c>
      <c r="C87">
        <v>54</v>
      </c>
      <c r="D87">
        <v>1</v>
      </c>
      <c r="E87" s="1">
        <v>45178</v>
      </c>
      <c r="F87">
        <v>9</v>
      </c>
      <c r="G87" s="1">
        <v>45208</v>
      </c>
      <c r="H87" s="1">
        <v>45264</v>
      </c>
      <c r="I87">
        <v>5</v>
      </c>
      <c r="J87">
        <v>3</v>
      </c>
      <c r="K87">
        <v>2699</v>
      </c>
      <c r="L87">
        <v>3</v>
      </c>
      <c r="M87">
        <v>3500</v>
      </c>
      <c r="N87">
        <v>12</v>
      </c>
      <c r="O87">
        <v>1</v>
      </c>
      <c r="P87">
        <v>1</v>
      </c>
      <c r="Q87">
        <v>1</v>
      </c>
      <c r="R87">
        <v>1</v>
      </c>
      <c r="S87">
        <v>0</v>
      </c>
      <c r="T87">
        <v>6</v>
      </c>
      <c r="U87">
        <v>120</v>
      </c>
      <c r="V87">
        <v>1859.7000000000003</v>
      </c>
      <c r="W87">
        <v>1</v>
      </c>
      <c r="X87">
        <v>6199</v>
      </c>
      <c r="Y87">
        <f t="shared" si="5"/>
        <v>5479.7000000000007</v>
      </c>
      <c r="Z87">
        <f t="shared" si="6"/>
        <v>719.29999999999927</v>
      </c>
      <c r="AA87">
        <f t="shared" si="7"/>
        <v>56</v>
      </c>
      <c r="AB87" t="str">
        <f t="shared" si="8"/>
        <v>1369</v>
      </c>
      <c r="AC87" t="str">
        <f t="shared" si="9"/>
        <v>1131619</v>
      </c>
    </row>
    <row r="88" spans="1:29" x14ac:dyDescent="0.3">
      <c r="A88">
        <f>_xlfn.XLOOKUP(E88,Date_Dim!B:B,Date_Dim!A:A)</f>
        <v>83</v>
      </c>
      <c r="B88">
        <v>2024</v>
      </c>
      <c r="C88">
        <v>55</v>
      </c>
      <c r="D88">
        <v>1</v>
      </c>
      <c r="E88" s="1">
        <v>44059</v>
      </c>
      <c r="F88">
        <v>12</v>
      </c>
      <c r="G88" s="1">
        <v>44089</v>
      </c>
      <c r="H88" s="1">
        <v>44110</v>
      </c>
      <c r="I88">
        <v>2</v>
      </c>
      <c r="J88">
        <v>5</v>
      </c>
      <c r="K88">
        <v>1559</v>
      </c>
      <c r="L88">
        <v>9</v>
      </c>
      <c r="M88">
        <v>2000</v>
      </c>
      <c r="N88">
        <v>4</v>
      </c>
      <c r="O88">
        <v>1</v>
      </c>
      <c r="P88">
        <v>4</v>
      </c>
      <c r="Q88">
        <v>4</v>
      </c>
      <c r="R88">
        <v>4</v>
      </c>
      <c r="S88">
        <v>0</v>
      </c>
      <c r="T88">
        <v>5</v>
      </c>
      <c r="U88">
        <v>155</v>
      </c>
      <c r="V88">
        <v>1067.7</v>
      </c>
      <c r="W88">
        <v>8</v>
      </c>
      <c r="X88">
        <v>3559</v>
      </c>
      <c r="Y88">
        <f t="shared" si="5"/>
        <v>3222.7</v>
      </c>
      <c r="Z88">
        <f t="shared" si="6"/>
        <v>336.30000000000018</v>
      </c>
      <c r="AA88">
        <f t="shared" si="7"/>
        <v>21</v>
      </c>
      <c r="AB88" t="str">
        <f t="shared" si="8"/>
        <v>45512</v>
      </c>
      <c r="AC88" t="str">
        <f t="shared" si="9"/>
        <v>41515112</v>
      </c>
    </row>
    <row r="89" spans="1:29" x14ac:dyDescent="0.3">
      <c r="A89">
        <f>_xlfn.XLOOKUP(E89,Date_Dim!B:B,Date_Dim!A:A)</f>
        <v>84</v>
      </c>
      <c r="B89">
        <v>2021</v>
      </c>
      <c r="C89">
        <v>55</v>
      </c>
      <c r="D89">
        <v>1</v>
      </c>
      <c r="E89" s="1">
        <v>45642</v>
      </c>
      <c r="F89">
        <v>23</v>
      </c>
      <c r="G89" s="1">
        <v>45672</v>
      </c>
      <c r="H89" s="1">
        <v>45700</v>
      </c>
      <c r="I89">
        <v>3</v>
      </c>
      <c r="J89">
        <v>2</v>
      </c>
      <c r="K89">
        <v>1689</v>
      </c>
      <c r="L89">
        <v>2</v>
      </c>
      <c r="M89">
        <v>3000</v>
      </c>
      <c r="N89">
        <v>14</v>
      </c>
      <c r="O89">
        <v>2</v>
      </c>
      <c r="P89">
        <v>1</v>
      </c>
      <c r="Q89">
        <v>1</v>
      </c>
      <c r="R89">
        <v>1</v>
      </c>
      <c r="S89">
        <v>0</v>
      </c>
      <c r="T89">
        <v>2</v>
      </c>
      <c r="U89">
        <v>175</v>
      </c>
      <c r="V89">
        <v>1406.7000000000003</v>
      </c>
      <c r="W89">
        <v>2</v>
      </c>
      <c r="X89">
        <v>4689</v>
      </c>
      <c r="Y89">
        <f t="shared" si="5"/>
        <v>4581.7000000000007</v>
      </c>
      <c r="Z89">
        <f t="shared" si="6"/>
        <v>107.29999999999927</v>
      </c>
      <c r="AA89">
        <f t="shared" si="7"/>
        <v>28</v>
      </c>
      <c r="AB89" t="str">
        <f t="shared" si="8"/>
        <v>12223</v>
      </c>
      <c r="AC89" t="str">
        <f t="shared" si="9"/>
        <v>11212123</v>
      </c>
    </row>
    <row r="90" spans="1:29" x14ac:dyDescent="0.3">
      <c r="A90">
        <f>_xlfn.XLOOKUP(E90,Date_Dim!B:B,Date_Dim!A:A)</f>
        <v>85</v>
      </c>
      <c r="B90">
        <v>2023</v>
      </c>
      <c r="C90">
        <v>56</v>
      </c>
      <c r="D90">
        <v>1</v>
      </c>
      <c r="E90" s="1">
        <v>44815</v>
      </c>
      <c r="F90">
        <v>17</v>
      </c>
      <c r="G90" s="1">
        <v>44845</v>
      </c>
      <c r="H90" s="1">
        <v>44887</v>
      </c>
      <c r="I90">
        <v>4</v>
      </c>
      <c r="J90">
        <v>1</v>
      </c>
      <c r="K90">
        <v>1999</v>
      </c>
      <c r="L90">
        <v>12</v>
      </c>
      <c r="M90">
        <v>1500</v>
      </c>
      <c r="N90">
        <v>11</v>
      </c>
      <c r="O90">
        <v>1</v>
      </c>
      <c r="P90">
        <v>4</v>
      </c>
      <c r="Q90">
        <v>4</v>
      </c>
      <c r="R90">
        <v>4</v>
      </c>
      <c r="S90">
        <v>0</v>
      </c>
      <c r="T90">
        <v>1</v>
      </c>
      <c r="U90">
        <v>0</v>
      </c>
      <c r="V90">
        <v>1399.6000000000001</v>
      </c>
      <c r="W90">
        <v>8</v>
      </c>
      <c r="X90">
        <v>3499</v>
      </c>
      <c r="Y90">
        <f t="shared" si="5"/>
        <v>2899.6000000000004</v>
      </c>
      <c r="Z90">
        <f t="shared" si="6"/>
        <v>599.39999999999964</v>
      </c>
      <c r="AA90">
        <f t="shared" si="7"/>
        <v>42</v>
      </c>
      <c r="AB90" t="str">
        <f t="shared" si="8"/>
        <v>41117</v>
      </c>
      <c r="AC90" t="str">
        <f t="shared" si="9"/>
        <v>41111117</v>
      </c>
    </row>
    <row r="91" spans="1:29" x14ac:dyDescent="0.3">
      <c r="A91">
        <f>_xlfn.XLOOKUP(E91,Date_Dim!B:B,Date_Dim!A:A)</f>
        <v>86</v>
      </c>
      <c r="B91">
        <v>2023</v>
      </c>
      <c r="C91">
        <v>57</v>
      </c>
      <c r="D91">
        <v>1</v>
      </c>
      <c r="E91" s="1">
        <v>44021</v>
      </c>
      <c r="F91">
        <v>2</v>
      </c>
      <c r="G91" s="1">
        <v>44051</v>
      </c>
      <c r="H91" s="1">
        <v>44093</v>
      </c>
      <c r="I91">
        <v>4</v>
      </c>
      <c r="J91">
        <v>2</v>
      </c>
      <c r="K91">
        <v>1999</v>
      </c>
      <c r="L91">
        <v>2</v>
      </c>
      <c r="M91">
        <v>4000</v>
      </c>
      <c r="N91">
        <v>14</v>
      </c>
      <c r="O91">
        <v>1</v>
      </c>
      <c r="P91">
        <v>1</v>
      </c>
      <c r="Q91">
        <v>1</v>
      </c>
      <c r="R91">
        <v>1</v>
      </c>
      <c r="S91">
        <v>0</v>
      </c>
      <c r="T91">
        <v>2</v>
      </c>
      <c r="U91">
        <v>175</v>
      </c>
      <c r="V91">
        <v>2399.6</v>
      </c>
      <c r="W91">
        <v>2</v>
      </c>
      <c r="X91">
        <v>5999</v>
      </c>
      <c r="Y91">
        <f t="shared" si="5"/>
        <v>6574.6</v>
      </c>
      <c r="Z91">
        <f t="shared" si="6"/>
        <v>-575.60000000000036</v>
      </c>
      <c r="AA91">
        <f t="shared" si="7"/>
        <v>42</v>
      </c>
      <c r="AB91" t="str">
        <f t="shared" si="8"/>
        <v>1222</v>
      </c>
      <c r="AC91" t="str">
        <f t="shared" si="9"/>
        <v>1121212</v>
      </c>
    </row>
    <row r="92" spans="1:29" x14ac:dyDescent="0.3">
      <c r="A92">
        <f>_xlfn.XLOOKUP(E92,Date_Dim!B:B,Date_Dim!A:A)</f>
        <v>87</v>
      </c>
      <c r="B92">
        <v>2020</v>
      </c>
      <c r="C92">
        <v>57</v>
      </c>
      <c r="D92">
        <v>1</v>
      </c>
      <c r="E92" s="1">
        <v>44203</v>
      </c>
      <c r="F92">
        <v>18</v>
      </c>
      <c r="G92" s="1">
        <v>44233</v>
      </c>
      <c r="H92" s="1">
        <v>44261</v>
      </c>
      <c r="I92">
        <v>3</v>
      </c>
      <c r="J92">
        <v>2</v>
      </c>
      <c r="K92">
        <v>1689</v>
      </c>
      <c r="L92">
        <v>10</v>
      </c>
      <c r="M92">
        <v>2500</v>
      </c>
      <c r="N92">
        <v>6</v>
      </c>
      <c r="O92">
        <v>1</v>
      </c>
      <c r="P92">
        <v>1</v>
      </c>
      <c r="Q92">
        <v>1</v>
      </c>
      <c r="R92">
        <v>1</v>
      </c>
      <c r="S92">
        <v>0</v>
      </c>
      <c r="T92">
        <v>2</v>
      </c>
      <c r="U92">
        <v>175</v>
      </c>
      <c r="V92">
        <v>1256.7000000000003</v>
      </c>
      <c r="W92">
        <v>3</v>
      </c>
      <c r="X92">
        <v>4189</v>
      </c>
      <c r="Y92">
        <f t="shared" si="5"/>
        <v>3931.7000000000003</v>
      </c>
      <c r="Z92">
        <f t="shared" si="6"/>
        <v>257.29999999999973</v>
      </c>
      <c r="AA92">
        <f t="shared" si="7"/>
        <v>28</v>
      </c>
      <c r="AB92" t="str">
        <f t="shared" si="8"/>
        <v>12218</v>
      </c>
      <c r="AC92" t="str">
        <f t="shared" si="9"/>
        <v>11212118</v>
      </c>
    </row>
    <row r="93" spans="1:29" x14ac:dyDescent="0.3">
      <c r="A93">
        <f>_xlfn.XLOOKUP(E93,Date_Dim!B:B,Date_Dim!A:A)</f>
        <v>88</v>
      </c>
      <c r="B93">
        <v>2020</v>
      </c>
      <c r="C93">
        <v>58</v>
      </c>
      <c r="D93">
        <v>1</v>
      </c>
      <c r="E93" s="1">
        <v>44080</v>
      </c>
      <c r="F93">
        <v>28</v>
      </c>
      <c r="G93" s="1">
        <v>44110</v>
      </c>
      <c r="H93" s="1">
        <v>44138</v>
      </c>
      <c r="I93">
        <v>3</v>
      </c>
      <c r="J93">
        <v>3</v>
      </c>
      <c r="K93">
        <v>1689</v>
      </c>
      <c r="L93">
        <v>14</v>
      </c>
      <c r="M93">
        <v>2200</v>
      </c>
      <c r="N93">
        <v>10</v>
      </c>
      <c r="O93">
        <v>1</v>
      </c>
      <c r="P93">
        <v>1</v>
      </c>
      <c r="Q93">
        <v>1</v>
      </c>
      <c r="R93">
        <v>1</v>
      </c>
      <c r="S93">
        <v>0</v>
      </c>
      <c r="T93">
        <v>2</v>
      </c>
      <c r="U93">
        <v>175</v>
      </c>
      <c r="V93">
        <v>1555.6000000000001</v>
      </c>
      <c r="W93">
        <v>2</v>
      </c>
      <c r="X93">
        <v>3889</v>
      </c>
      <c r="Y93">
        <f t="shared" si="5"/>
        <v>3930.6000000000004</v>
      </c>
      <c r="Z93">
        <f t="shared" si="6"/>
        <v>-41.600000000000364</v>
      </c>
      <c r="AA93">
        <f t="shared" si="7"/>
        <v>28</v>
      </c>
      <c r="AB93" t="str">
        <f t="shared" si="8"/>
        <v>13228</v>
      </c>
      <c r="AC93" t="str">
        <f t="shared" si="9"/>
        <v>11312128</v>
      </c>
    </row>
    <row r="94" spans="1:29" x14ac:dyDescent="0.3">
      <c r="A94">
        <f>_xlfn.XLOOKUP(E94,Date_Dim!B:B,Date_Dim!A:A)</f>
        <v>29</v>
      </c>
      <c r="B94">
        <v>2023</v>
      </c>
      <c r="C94">
        <v>58</v>
      </c>
      <c r="D94">
        <v>1</v>
      </c>
      <c r="E94" s="1">
        <v>44683</v>
      </c>
      <c r="F94">
        <v>24</v>
      </c>
      <c r="G94" s="1">
        <v>44713</v>
      </c>
      <c r="H94" s="1">
        <v>44755</v>
      </c>
      <c r="I94">
        <v>4</v>
      </c>
      <c r="J94">
        <v>3</v>
      </c>
      <c r="K94">
        <v>1999</v>
      </c>
      <c r="L94">
        <v>3</v>
      </c>
      <c r="M94">
        <v>3000</v>
      </c>
      <c r="N94">
        <v>12</v>
      </c>
      <c r="O94">
        <v>1</v>
      </c>
      <c r="P94">
        <v>1</v>
      </c>
      <c r="Q94">
        <v>1</v>
      </c>
      <c r="R94">
        <v>1</v>
      </c>
      <c r="S94">
        <v>0</v>
      </c>
      <c r="T94">
        <v>2</v>
      </c>
      <c r="U94">
        <v>175</v>
      </c>
      <c r="V94">
        <v>1999.6000000000001</v>
      </c>
      <c r="W94">
        <v>2</v>
      </c>
      <c r="X94">
        <v>4999</v>
      </c>
      <c r="Y94">
        <f t="shared" si="5"/>
        <v>5174.6000000000004</v>
      </c>
      <c r="Z94">
        <f t="shared" si="6"/>
        <v>-175.60000000000036</v>
      </c>
      <c r="AA94">
        <f t="shared" si="7"/>
        <v>42</v>
      </c>
      <c r="AB94" t="str">
        <f t="shared" si="8"/>
        <v>13224</v>
      </c>
      <c r="AC94" t="str">
        <f t="shared" si="9"/>
        <v>11312124</v>
      </c>
    </row>
    <row r="95" spans="1:29" x14ac:dyDescent="0.3">
      <c r="A95">
        <f>_xlfn.XLOOKUP(E95,Date_Dim!B:B,Date_Dim!A:A)</f>
        <v>89</v>
      </c>
      <c r="B95">
        <v>2022</v>
      </c>
      <c r="C95">
        <v>59</v>
      </c>
      <c r="D95">
        <v>1</v>
      </c>
      <c r="E95" s="1">
        <v>44951</v>
      </c>
      <c r="F95">
        <v>5</v>
      </c>
      <c r="G95" s="1">
        <v>44981</v>
      </c>
      <c r="H95" s="1">
        <v>45037</v>
      </c>
      <c r="I95">
        <v>5</v>
      </c>
      <c r="J95">
        <v>4</v>
      </c>
      <c r="K95">
        <v>2699</v>
      </c>
      <c r="L95">
        <v>5</v>
      </c>
      <c r="M95">
        <v>5000</v>
      </c>
      <c r="N95">
        <v>8</v>
      </c>
      <c r="O95">
        <v>1</v>
      </c>
      <c r="P95">
        <v>5</v>
      </c>
      <c r="Q95">
        <v>5</v>
      </c>
      <c r="R95">
        <v>5</v>
      </c>
      <c r="S95">
        <v>8000</v>
      </c>
      <c r="T95">
        <v>3</v>
      </c>
      <c r="U95">
        <v>125</v>
      </c>
      <c r="V95">
        <v>4709.7000000000007</v>
      </c>
      <c r="W95">
        <v>4</v>
      </c>
      <c r="X95">
        <v>15699</v>
      </c>
      <c r="Y95">
        <f t="shared" si="5"/>
        <v>9834.7000000000007</v>
      </c>
      <c r="Z95">
        <f t="shared" si="6"/>
        <v>5864.2999999999993</v>
      </c>
      <c r="AA95">
        <f t="shared" si="7"/>
        <v>56</v>
      </c>
      <c r="AB95" t="str">
        <f t="shared" si="8"/>
        <v>5435</v>
      </c>
      <c r="AC95" t="str">
        <f t="shared" si="9"/>
        <v>5141315</v>
      </c>
    </row>
    <row r="96" spans="1:29" x14ac:dyDescent="0.3">
      <c r="A96">
        <f>_xlfn.XLOOKUP(E96,Date_Dim!B:B,Date_Dim!A:A)</f>
        <v>90</v>
      </c>
      <c r="B96">
        <v>2022</v>
      </c>
      <c r="C96">
        <v>60</v>
      </c>
      <c r="D96">
        <v>1</v>
      </c>
      <c r="E96" s="1">
        <v>44499</v>
      </c>
      <c r="F96">
        <v>23</v>
      </c>
      <c r="G96" s="1">
        <v>44529</v>
      </c>
      <c r="H96" s="1">
        <v>44557</v>
      </c>
      <c r="I96">
        <v>3</v>
      </c>
      <c r="J96">
        <v>2</v>
      </c>
      <c r="K96">
        <v>1689</v>
      </c>
      <c r="L96">
        <v>2</v>
      </c>
      <c r="M96">
        <v>3000</v>
      </c>
      <c r="N96">
        <v>14</v>
      </c>
      <c r="O96">
        <v>1</v>
      </c>
      <c r="P96">
        <v>1</v>
      </c>
      <c r="Q96">
        <v>1</v>
      </c>
      <c r="R96">
        <v>1</v>
      </c>
      <c r="S96">
        <v>0</v>
      </c>
      <c r="T96">
        <v>2</v>
      </c>
      <c r="U96">
        <v>175</v>
      </c>
      <c r="V96">
        <v>1875.6000000000001</v>
      </c>
      <c r="W96">
        <v>2</v>
      </c>
      <c r="X96">
        <v>4689</v>
      </c>
      <c r="Y96">
        <f t="shared" si="5"/>
        <v>5050.6000000000004</v>
      </c>
      <c r="Z96">
        <f t="shared" si="6"/>
        <v>-361.60000000000036</v>
      </c>
      <c r="AA96">
        <f t="shared" si="7"/>
        <v>28</v>
      </c>
      <c r="AB96" t="str">
        <f t="shared" si="8"/>
        <v>12223</v>
      </c>
      <c r="AC96" t="str">
        <f t="shared" si="9"/>
        <v>11212123</v>
      </c>
    </row>
    <row r="97" spans="1:29" x14ac:dyDescent="0.3">
      <c r="A97">
        <f>_xlfn.XLOOKUP(E97,Date_Dim!B:B,Date_Dim!A:A)</f>
        <v>91</v>
      </c>
      <c r="B97">
        <v>2024</v>
      </c>
      <c r="C97">
        <v>60</v>
      </c>
      <c r="D97">
        <v>1</v>
      </c>
      <c r="E97" s="1">
        <v>44274</v>
      </c>
      <c r="F97">
        <v>19</v>
      </c>
      <c r="G97" s="1">
        <v>44304</v>
      </c>
      <c r="H97" s="1">
        <v>44360</v>
      </c>
      <c r="I97">
        <v>5</v>
      </c>
      <c r="J97">
        <v>6</v>
      </c>
      <c r="K97">
        <v>2699</v>
      </c>
      <c r="L97">
        <v>8</v>
      </c>
      <c r="M97">
        <v>3200</v>
      </c>
      <c r="N97">
        <v>2</v>
      </c>
      <c r="O97">
        <v>1</v>
      </c>
      <c r="P97">
        <v>2</v>
      </c>
      <c r="Q97">
        <v>2</v>
      </c>
      <c r="R97">
        <v>2</v>
      </c>
      <c r="S97">
        <v>6000</v>
      </c>
      <c r="T97">
        <v>2</v>
      </c>
      <c r="U97">
        <v>175</v>
      </c>
      <c r="V97">
        <v>4759.6000000000004</v>
      </c>
      <c r="W97">
        <v>3</v>
      </c>
      <c r="X97">
        <v>11899</v>
      </c>
      <c r="Y97">
        <f t="shared" si="5"/>
        <v>8134.6</v>
      </c>
      <c r="Z97">
        <f t="shared" si="6"/>
        <v>3764.3999999999996</v>
      </c>
      <c r="AA97">
        <f t="shared" si="7"/>
        <v>56</v>
      </c>
      <c r="AB97" t="str">
        <f t="shared" si="8"/>
        <v>26219</v>
      </c>
      <c r="AC97" t="str">
        <f t="shared" si="9"/>
        <v>21612119</v>
      </c>
    </row>
    <row r="98" spans="1:29" x14ac:dyDescent="0.3">
      <c r="A98">
        <f>_xlfn.XLOOKUP(E98,Date_Dim!B:B,Date_Dim!A:A)</f>
        <v>92</v>
      </c>
      <c r="B98">
        <v>2021</v>
      </c>
      <c r="C98">
        <v>61</v>
      </c>
      <c r="D98">
        <v>1</v>
      </c>
      <c r="E98" s="1">
        <v>43997</v>
      </c>
      <c r="F98">
        <v>5</v>
      </c>
      <c r="G98" s="1">
        <v>44027</v>
      </c>
      <c r="H98" s="1">
        <v>44083</v>
      </c>
      <c r="I98">
        <v>5</v>
      </c>
      <c r="J98">
        <v>4</v>
      </c>
      <c r="K98">
        <v>2699</v>
      </c>
      <c r="L98">
        <v>5</v>
      </c>
      <c r="M98">
        <v>5000</v>
      </c>
      <c r="N98">
        <v>8</v>
      </c>
      <c r="O98">
        <v>1</v>
      </c>
      <c r="P98">
        <v>5</v>
      </c>
      <c r="Q98">
        <v>5</v>
      </c>
      <c r="R98">
        <v>5</v>
      </c>
      <c r="S98">
        <v>8000</v>
      </c>
      <c r="T98">
        <v>3</v>
      </c>
      <c r="U98">
        <v>125</v>
      </c>
      <c r="V98">
        <v>6279.6</v>
      </c>
      <c r="W98">
        <v>9</v>
      </c>
      <c r="X98">
        <v>15699</v>
      </c>
      <c r="Y98">
        <f t="shared" si="5"/>
        <v>11404.6</v>
      </c>
      <c r="Z98">
        <f t="shared" si="6"/>
        <v>4294.3999999999996</v>
      </c>
      <c r="AA98">
        <f t="shared" si="7"/>
        <v>56</v>
      </c>
      <c r="AB98" t="str">
        <f t="shared" si="8"/>
        <v>5435</v>
      </c>
      <c r="AC98" t="str">
        <f t="shared" si="9"/>
        <v>5141315</v>
      </c>
    </row>
    <row r="99" spans="1:29" x14ac:dyDescent="0.3">
      <c r="A99">
        <f>_xlfn.XLOOKUP(E99,Date_Dim!B:B,Date_Dim!A:A)</f>
        <v>93</v>
      </c>
      <c r="B99">
        <v>2023</v>
      </c>
      <c r="C99">
        <v>62</v>
      </c>
      <c r="D99">
        <v>1</v>
      </c>
      <c r="E99" s="1">
        <v>43850</v>
      </c>
      <c r="F99">
        <v>27</v>
      </c>
      <c r="G99" s="1">
        <v>43880</v>
      </c>
      <c r="H99" s="1">
        <v>43908</v>
      </c>
      <c r="I99">
        <v>3</v>
      </c>
      <c r="J99">
        <v>1</v>
      </c>
      <c r="K99">
        <v>1689</v>
      </c>
      <c r="L99">
        <v>1</v>
      </c>
      <c r="M99">
        <v>4000</v>
      </c>
      <c r="N99">
        <v>15</v>
      </c>
      <c r="O99">
        <v>1</v>
      </c>
      <c r="P99">
        <v>4</v>
      </c>
      <c r="Q99">
        <v>4</v>
      </c>
      <c r="R99">
        <v>4</v>
      </c>
      <c r="S99">
        <v>0</v>
      </c>
      <c r="T99">
        <v>1</v>
      </c>
      <c r="U99">
        <v>0</v>
      </c>
      <c r="V99">
        <v>1706.7000000000003</v>
      </c>
      <c r="W99">
        <v>1</v>
      </c>
      <c r="X99">
        <v>5689</v>
      </c>
      <c r="Y99">
        <f t="shared" si="5"/>
        <v>5706.7000000000007</v>
      </c>
      <c r="Z99">
        <f t="shared" si="6"/>
        <v>-17.700000000000728</v>
      </c>
      <c r="AA99">
        <f t="shared" si="7"/>
        <v>28</v>
      </c>
      <c r="AB99" t="str">
        <f t="shared" si="8"/>
        <v>41127</v>
      </c>
      <c r="AC99" t="str">
        <f t="shared" si="9"/>
        <v>41111127</v>
      </c>
    </row>
    <row r="100" spans="1:29" x14ac:dyDescent="0.3">
      <c r="A100">
        <f>_xlfn.XLOOKUP(E100,Date_Dim!B:B,Date_Dim!A:A)</f>
        <v>94</v>
      </c>
      <c r="B100">
        <v>2020</v>
      </c>
      <c r="C100">
        <v>62</v>
      </c>
      <c r="D100">
        <v>1</v>
      </c>
      <c r="E100" s="1">
        <v>44959</v>
      </c>
      <c r="F100">
        <v>9</v>
      </c>
      <c r="G100" s="1">
        <v>44989</v>
      </c>
      <c r="H100" s="1">
        <v>45045</v>
      </c>
      <c r="I100">
        <v>5</v>
      </c>
      <c r="J100">
        <v>3</v>
      </c>
      <c r="K100">
        <v>2699</v>
      </c>
      <c r="L100">
        <v>3</v>
      </c>
      <c r="M100">
        <v>3500</v>
      </c>
      <c r="N100">
        <v>12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6</v>
      </c>
      <c r="U100">
        <v>120</v>
      </c>
      <c r="V100">
        <v>2479.6000000000004</v>
      </c>
      <c r="W100">
        <v>1</v>
      </c>
      <c r="X100">
        <v>6199</v>
      </c>
      <c r="Y100">
        <f t="shared" si="5"/>
        <v>6099.6</v>
      </c>
      <c r="Z100">
        <f t="shared" si="6"/>
        <v>99.399999999999636</v>
      </c>
      <c r="AA100">
        <f t="shared" si="7"/>
        <v>56</v>
      </c>
      <c r="AB100" t="str">
        <f t="shared" si="8"/>
        <v>1369</v>
      </c>
      <c r="AC100" t="str">
        <f t="shared" si="9"/>
        <v>1131619</v>
      </c>
    </row>
    <row r="101" spans="1:29" x14ac:dyDescent="0.3">
      <c r="A101">
        <f>_xlfn.XLOOKUP(E101,Date_Dim!B:B,Date_Dim!A:A)</f>
        <v>56</v>
      </c>
      <c r="B101">
        <v>2024</v>
      </c>
      <c r="C101">
        <v>63</v>
      </c>
      <c r="D101">
        <v>1</v>
      </c>
      <c r="E101" s="1">
        <v>45374</v>
      </c>
      <c r="F101">
        <v>24</v>
      </c>
      <c r="G101" s="1">
        <v>45404</v>
      </c>
      <c r="H101" s="1">
        <v>45446</v>
      </c>
      <c r="I101">
        <v>4</v>
      </c>
      <c r="J101">
        <v>3</v>
      </c>
      <c r="K101">
        <v>1999</v>
      </c>
      <c r="L101">
        <v>3</v>
      </c>
      <c r="M101">
        <v>3000</v>
      </c>
      <c r="N101">
        <v>12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2</v>
      </c>
      <c r="U101">
        <v>175</v>
      </c>
      <c r="V101">
        <v>1999.6000000000001</v>
      </c>
      <c r="W101">
        <v>1</v>
      </c>
      <c r="X101">
        <v>4999</v>
      </c>
      <c r="Y101">
        <f t="shared" si="5"/>
        <v>5174.6000000000004</v>
      </c>
      <c r="Z101">
        <f t="shared" si="6"/>
        <v>-175.60000000000036</v>
      </c>
      <c r="AA101">
        <f t="shared" si="7"/>
        <v>42</v>
      </c>
      <c r="AB101" t="str">
        <f t="shared" si="8"/>
        <v>13224</v>
      </c>
      <c r="AC101" t="str">
        <f t="shared" si="9"/>
        <v>11312124</v>
      </c>
    </row>
    <row r="102" spans="1:29" x14ac:dyDescent="0.3">
      <c r="A102">
        <f>_xlfn.XLOOKUP(E102,Date_Dim!B:B,Date_Dim!A:A)</f>
        <v>95</v>
      </c>
      <c r="B102">
        <v>2021</v>
      </c>
      <c r="C102">
        <v>63</v>
      </c>
      <c r="D102">
        <v>1</v>
      </c>
      <c r="E102" s="1">
        <v>45569</v>
      </c>
      <c r="F102">
        <v>6</v>
      </c>
      <c r="G102" s="1">
        <v>45599</v>
      </c>
      <c r="H102" s="1">
        <v>45641</v>
      </c>
      <c r="I102">
        <v>4</v>
      </c>
      <c r="J102">
        <v>4</v>
      </c>
      <c r="K102">
        <v>1999</v>
      </c>
      <c r="L102">
        <v>6</v>
      </c>
      <c r="M102">
        <v>3000</v>
      </c>
      <c r="N102">
        <v>9</v>
      </c>
      <c r="O102">
        <v>1</v>
      </c>
      <c r="P102">
        <v>3</v>
      </c>
      <c r="Q102">
        <v>3</v>
      </c>
      <c r="R102">
        <v>3</v>
      </c>
      <c r="S102">
        <v>2000</v>
      </c>
      <c r="T102">
        <v>4</v>
      </c>
      <c r="U102">
        <v>135</v>
      </c>
      <c r="V102">
        <v>2099.7000000000003</v>
      </c>
      <c r="W102">
        <v>5</v>
      </c>
      <c r="X102">
        <v>6999</v>
      </c>
      <c r="Y102">
        <f t="shared" si="5"/>
        <v>5234.7000000000007</v>
      </c>
      <c r="Z102">
        <f t="shared" si="6"/>
        <v>1764.2999999999993</v>
      </c>
      <c r="AA102">
        <f t="shared" si="7"/>
        <v>42</v>
      </c>
      <c r="AB102" t="str">
        <f t="shared" si="8"/>
        <v>3446</v>
      </c>
      <c r="AC102" t="str">
        <f t="shared" si="9"/>
        <v>3141416</v>
      </c>
    </row>
    <row r="103" spans="1:29" x14ac:dyDescent="0.3">
      <c r="A103">
        <f>_xlfn.XLOOKUP(E103,Date_Dim!B:B,Date_Dim!A:A)</f>
        <v>96</v>
      </c>
      <c r="B103">
        <v>2023</v>
      </c>
      <c r="C103">
        <v>64</v>
      </c>
      <c r="D103">
        <v>1</v>
      </c>
      <c r="E103" s="1">
        <v>45500</v>
      </c>
      <c r="F103">
        <v>11</v>
      </c>
      <c r="G103" s="1">
        <v>45530</v>
      </c>
      <c r="H103" s="1">
        <v>45544</v>
      </c>
      <c r="I103">
        <v>1</v>
      </c>
      <c r="J103">
        <v>2</v>
      </c>
      <c r="K103">
        <v>1459</v>
      </c>
      <c r="L103">
        <v>10</v>
      </c>
      <c r="M103">
        <v>2000</v>
      </c>
      <c r="N103">
        <v>6</v>
      </c>
      <c r="O103">
        <v>1</v>
      </c>
      <c r="P103">
        <v>2</v>
      </c>
      <c r="Q103">
        <v>2</v>
      </c>
      <c r="R103">
        <v>2</v>
      </c>
      <c r="S103">
        <v>6000</v>
      </c>
      <c r="T103">
        <v>2</v>
      </c>
      <c r="U103">
        <v>175</v>
      </c>
      <c r="V103">
        <v>3783.6000000000004</v>
      </c>
      <c r="W103">
        <v>3</v>
      </c>
      <c r="X103">
        <v>9459</v>
      </c>
      <c r="Y103">
        <f t="shared" si="5"/>
        <v>5958.6</v>
      </c>
      <c r="Z103">
        <f t="shared" si="6"/>
        <v>3500.3999999999996</v>
      </c>
      <c r="AA103">
        <f t="shared" si="7"/>
        <v>14</v>
      </c>
      <c r="AB103" t="str">
        <f t="shared" si="8"/>
        <v>22211</v>
      </c>
      <c r="AC103" t="str">
        <f t="shared" si="9"/>
        <v>21212111</v>
      </c>
    </row>
    <row r="104" spans="1:29" x14ac:dyDescent="0.3">
      <c r="A104">
        <f>_xlfn.XLOOKUP(E104,Date_Dim!B:B,Date_Dim!A:A)</f>
        <v>12</v>
      </c>
      <c r="B104">
        <v>2022</v>
      </c>
      <c r="C104">
        <v>65</v>
      </c>
      <c r="D104">
        <v>1</v>
      </c>
      <c r="E104" s="1">
        <v>44780</v>
      </c>
      <c r="F104">
        <v>5</v>
      </c>
      <c r="G104" s="1">
        <v>44810</v>
      </c>
      <c r="H104" s="1">
        <v>44866</v>
      </c>
      <c r="I104">
        <v>5</v>
      </c>
      <c r="J104">
        <v>4</v>
      </c>
      <c r="K104">
        <v>2699</v>
      </c>
      <c r="L104">
        <v>5</v>
      </c>
      <c r="M104">
        <v>5000</v>
      </c>
      <c r="N104">
        <v>8</v>
      </c>
      <c r="O104">
        <v>1</v>
      </c>
      <c r="P104">
        <v>5</v>
      </c>
      <c r="Q104">
        <v>5</v>
      </c>
      <c r="R104">
        <v>5</v>
      </c>
      <c r="S104">
        <v>8000</v>
      </c>
      <c r="T104">
        <v>3</v>
      </c>
      <c r="U104">
        <v>125</v>
      </c>
      <c r="V104">
        <v>4709.7000000000007</v>
      </c>
      <c r="W104">
        <v>9</v>
      </c>
      <c r="X104">
        <v>15699</v>
      </c>
      <c r="Y104">
        <f t="shared" si="5"/>
        <v>9834.7000000000007</v>
      </c>
      <c r="Z104">
        <f t="shared" si="6"/>
        <v>5864.2999999999993</v>
      </c>
      <c r="AA104">
        <f t="shared" si="7"/>
        <v>56</v>
      </c>
      <c r="AB104" t="str">
        <f t="shared" si="8"/>
        <v>5435</v>
      </c>
      <c r="AC104" t="str">
        <f t="shared" si="9"/>
        <v>5141315</v>
      </c>
    </row>
    <row r="105" spans="1:29" x14ac:dyDescent="0.3">
      <c r="A105">
        <f>_xlfn.XLOOKUP(E105,Date_Dim!B:B,Date_Dim!A:A)</f>
        <v>44</v>
      </c>
      <c r="B105">
        <v>2023</v>
      </c>
      <c r="C105">
        <v>66</v>
      </c>
      <c r="D105">
        <v>1</v>
      </c>
      <c r="E105" s="1">
        <v>44062</v>
      </c>
      <c r="F105">
        <v>6</v>
      </c>
      <c r="G105" s="1">
        <v>44092</v>
      </c>
      <c r="H105" s="1">
        <v>44134</v>
      </c>
      <c r="I105">
        <v>4</v>
      </c>
      <c r="J105">
        <v>4</v>
      </c>
      <c r="K105">
        <v>1999</v>
      </c>
      <c r="L105">
        <v>6</v>
      </c>
      <c r="M105">
        <v>3000</v>
      </c>
      <c r="N105">
        <v>9</v>
      </c>
      <c r="O105">
        <v>1</v>
      </c>
      <c r="P105">
        <v>3</v>
      </c>
      <c r="Q105">
        <v>3</v>
      </c>
      <c r="R105">
        <v>3</v>
      </c>
      <c r="S105">
        <v>2000</v>
      </c>
      <c r="T105">
        <v>4</v>
      </c>
      <c r="U105">
        <v>135</v>
      </c>
      <c r="V105">
        <v>2099.7000000000003</v>
      </c>
      <c r="W105">
        <v>7</v>
      </c>
      <c r="X105">
        <v>6999</v>
      </c>
      <c r="Y105">
        <f t="shared" si="5"/>
        <v>5234.7000000000007</v>
      </c>
      <c r="Z105">
        <f t="shared" si="6"/>
        <v>1764.2999999999993</v>
      </c>
      <c r="AA105">
        <f t="shared" si="7"/>
        <v>42</v>
      </c>
      <c r="AB105" t="str">
        <f t="shared" si="8"/>
        <v>3446</v>
      </c>
      <c r="AC105" t="str">
        <f t="shared" si="9"/>
        <v>3141416</v>
      </c>
    </row>
    <row r="106" spans="1:29" x14ac:dyDescent="0.3">
      <c r="A106">
        <f>_xlfn.XLOOKUP(E106,Date_Dim!B:B,Date_Dim!A:A)</f>
        <v>97</v>
      </c>
      <c r="B106">
        <v>2021</v>
      </c>
      <c r="C106">
        <v>67</v>
      </c>
      <c r="D106">
        <v>1</v>
      </c>
      <c r="E106" s="1">
        <v>45093</v>
      </c>
      <c r="F106">
        <v>18</v>
      </c>
      <c r="G106" s="1">
        <v>45123</v>
      </c>
      <c r="H106" s="1">
        <v>45151</v>
      </c>
      <c r="I106">
        <v>3</v>
      </c>
      <c r="J106">
        <v>2</v>
      </c>
      <c r="K106">
        <v>1689</v>
      </c>
      <c r="L106">
        <v>10</v>
      </c>
      <c r="M106">
        <v>2500</v>
      </c>
      <c r="N106">
        <v>6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2</v>
      </c>
      <c r="U106">
        <v>175</v>
      </c>
      <c r="V106">
        <v>1256.7000000000003</v>
      </c>
      <c r="W106">
        <v>3</v>
      </c>
      <c r="X106">
        <v>4189</v>
      </c>
      <c r="Y106">
        <f t="shared" si="5"/>
        <v>3931.7000000000003</v>
      </c>
      <c r="Z106">
        <f t="shared" si="6"/>
        <v>257.29999999999973</v>
      </c>
      <c r="AA106">
        <f t="shared" si="7"/>
        <v>28</v>
      </c>
      <c r="AB106" t="str">
        <f t="shared" si="8"/>
        <v>12218</v>
      </c>
      <c r="AC106" t="str">
        <f t="shared" si="9"/>
        <v>11212118</v>
      </c>
    </row>
    <row r="107" spans="1:29" x14ac:dyDescent="0.3">
      <c r="A107">
        <f>_xlfn.XLOOKUP(E107,Date_Dim!B:B,Date_Dim!A:A)</f>
        <v>98</v>
      </c>
      <c r="B107">
        <v>2024</v>
      </c>
      <c r="C107">
        <v>67</v>
      </c>
      <c r="D107">
        <v>1</v>
      </c>
      <c r="E107" s="1">
        <v>45046</v>
      </c>
      <c r="F107">
        <v>10</v>
      </c>
      <c r="G107" s="1">
        <v>45076</v>
      </c>
      <c r="H107" s="1">
        <v>45090</v>
      </c>
      <c r="I107">
        <v>1</v>
      </c>
      <c r="J107">
        <v>5</v>
      </c>
      <c r="K107">
        <v>1459</v>
      </c>
      <c r="L107">
        <v>9</v>
      </c>
      <c r="M107">
        <v>1000</v>
      </c>
      <c r="N107">
        <v>4</v>
      </c>
      <c r="O107">
        <v>1</v>
      </c>
      <c r="P107">
        <v>4</v>
      </c>
      <c r="Q107">
        <v>4</v>
      </c>
      <c r="R107">
        <v>4</v>
      </c>
      <c r="S107">
        <v>0</v>
      </c>
      <c r="T107">
        <v>5</v>
      </c>
      <c r="U107">
        <v>155</v>
      </c>
      <c r="V107">
        <v>737.70000000000016</v>
      </c>
      <c r="W107">
        <v>8</v>
      </c>
      <c r="X107">
        <v>2459</v>
      </c>
      <c r="Y107">
        <f t="shared" si="5"/>
        <v>1892.7000000000003</v>
      </c>
      <c r="Z107">
        <f t="shared" si="6"/>
        <v>566.29999999999973</v>
      </c>
      <c r="AA107">
        <f t="shared" si="7"/>
        <v>14</v>
      </c>
      <c r="AB107" t="str">
        <f t="shared" si="8"/>
        <v>45510</v>
      </c>
      <c r="AC107" t="str">
        <f t="shared" si="9"/>
        <v>41515110</v>
      </c>
    </row>
    <row r="108" spans="1:29" x14ac:dyDescent="0.3">
      <c r="A108">
        <f>_xlfn.XLOOKUP(E108,Date_Dim!B:B,Date_Dim!A:A)</f>
        <v>99</v>
      </c>
      <c r="B108">
        <v>2022</v>
      </c>
      <c r="C108">
        <v>68</v>
      </c>
      <c r="D108">
        <v>1</v>
      </c>
      <c r="E108" s="1">
        <v>45234</v>
      </c>
      <c r="F108">
        <v>2</v>
      </c>
      <c r="G108" s="1">
        <v>45264</v>
      </c>
      <c r="H108" s="1">
        <v>45306</v>
      </c>
      <c r="I108">
        <v>4</v>
      </c>
      <c r="J108">
        <v>2</v>
      </c>
      <c r="K108">
        <v>1999</v>
      </c>
      <c r="L108">
        <v>2</v>
      </c>
      <c r="M108">
        <v>4000</v>
      </c>
      <c r="N108">
        <v>14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2</v>
      </c>
      <c r="U108">
        <v>175</v>
      </c>
      <c r="V108">
        <v>1799.7000000000003</v>
      </c>
      <c r="W108">
        <v>2</v>
      </c>
      <c r="X108">
        <v>5999</v>
      </c>
      <c r="Y108">
        <f t="shared" si="5"/>
        <v>5974.7000000000007</v>
      </c>
      <c r="Z108">
        <f t="shared" si="6"/>
        <v>24.299999999999272</v>
      </c>
      <c r="AA108">
        <f t="shared" si="7"/>
        <v>42</v>
      </c>
      <c r="AB108" t="str">
        <f t="shared" si="8"/>
        <v>1222</v>
      </c>
      <c r="AC108" t="str">
        <f t="shared" si="9"/>
        <v>1121212</v>
      </c>
    </row>
    <row r="109" spans="1:29" x14ac:dyDescent="0.3">
      <c r="A109">
        <f>_xlfn.XLOOKUP(E109,Date_Dim!B:B,Date_Dim!A:A)</f>
        <v>100</v>
      </c>
      <c r="B109">
        <v>2024</v>
      </c>
      <c r="C109">
        <v>68</v>
      </c>
      <c r="D109">
        <v>1</v>
      </c>
      <c r="E109" s="1">
        <v>44556</v>
      </c>
      <c r="F109">
        <v>11</v>
      </c>
      <c r="G109" s="1">
        <v>44586</v>
      </c>
      <c r="H109" s="1">
        <v>44600</v>
      </c>
      <c r="I109">
        <v>1</v>
      </c>
      <c r="J109">
        <v>2</v>
      </c>
      <c r="K109">
        <v>1459</v>
      </c>
      <c r="L109">
        <v>10</v>
      </c>
      <c r="M109">
        <v>2000</v>
      </c>
      <c r="N109">
        <v>6</v>
      </c>
      <c r="O109">
        <v>1</v>
      </c>
      <c r="P109">
        <v>2</v>
      </c>
      <c r="Q109">
        <v>2</v>
      </c>
      <c r="R109">
        <v>2</v>
      </c>
      <c r="S109">
        <v>6000</v>
      </c>
      <c r="T109">
        <v>2</v>
      </c>
      <c r="U109">
        <v>175</v>
      </c>
      <c r="V109">
        <v>3783.6000000000004</v>
      </c>
      <c r="W109">
        <v>3</v>
      </c>
      <c r="X109">
        <v>9459</v>
      </c>
      <c r="Y109">
        <f t="shared" si="5"/>
        <v>5958.6</v>
      </c>
      <c r="Z109">
        <f t="shared" si="6"/>
        <v>3500.3999999999996</v>
      </c>
      <c r="AA109">
        <f t="shared" si="7"/>
        <v>14</v>
      </c>
      <c r="AB109" t="str">
        <f t="shared" si="8"/>
        <v>22211</v>
      </c>
      <c r="AC109" t="str">
        <f t="shared" si="9"/>
        <v>21212111</v>
      </c>
    </row>
    <row r="110" spans="1:29" x14ac:dyDescent="0.3">
      <c r="A110">
        <f>_xlfn.XLOOKUP(E110,Date_Dim!B:B,Date_Dim!A:A)</f>
        <v>101</v>
      </c>
      <c r="B110">
        <v>2022</v>
      </c>
      <c r="C110">
        <v>69</v>
      </c>
      <c r="D110">
        <v>1</v>
      </c>
      <c r="E110" s="1">
        <v>45443</v>
      </c>
      <c r="F110">
        <v>8</v>
      </c>
      <c r="G110" s="1">
        <v>45473</v>
      </c>
      <c r="H110" s="1">
        <v>45487</v>
      </c>
      <c r="I110">
        <v>1</v>
      </c>
      <c r="J110">
        <v>4</v>
      </c>
      <c r="K110">
        <v>1459</v>
      </c>
      <c r="L110">
        <v>8</v>
      </c>
      <c r="M110">
        <v>1800</v>
      </c>
      <c r="N110">
        <v>2</v>
      </c>
      <c r="O110">
        <v>1</v>
      </c>
      <c r="P110">
        <v>4</v>
      </c>
      <c r="Q110">
        <v>4</v>
      </c>
      <c r="R110">
        <v>4</v>
      </c>
      <c r="S110">
        <v>0</v>
      </c>
      <c r="T110">
        <v>5</v>
      </c>
      <c r="U110">
        <v>155</v>
      </c>
      <c r="V110">
        <v>977.70000000000016</v>
      </c>
      <c r="W110">
        <v>6</v>
      </c>
      <c r="X110">
        <v>3259</v>
      </c>
      <c r="Y110">
        <f t="shared" si="5"/>
        <v>2932.7000000000003</v>
      </c>
      <c r="Z110">
        <f t="shared" si="6"/>
        <v>326.29999999999973</v>
      </c>
      <c r="AA110">
        <f t="shared" si="7"/>
        <v>14</v>
      </c>
      <c r="AB110" t="str">
        <f t="shared" si="8"/>
        <v>4458</v>
      </c>
      <c r="AC110" t="str">
        <f t="shared" si="9"/>
        <v>4141518</v>
      </c>
    </row>
    <row r="111" spans="1:29" x14ac:dyDescent="0.3">
      <c r="A111">
        <f>_xlfn.XLOOKUP(E111,Date_Dim!B:B,Date_Dim!A:A)</f>
        <v>102</v>
      </c>
      <c r="B111">
        <v>2023</v>
      </c>
      <c r="C111">
        <v>70</v>
      </c>
      <c r="D111">
        <v>1</v>
      </c>
      <c r="E111" s="1">
        <v>44101</v>
      </c>
      <c r="F111">
        <v>5</v>
      </c>
      <c r="G111" s="1">
        <v>44131</v>
      </c>
      <c r="H111" s="1">
        <v>44187</v>
      </c>
      <c r="I111">
        <v>5</v>
      </c>
      <c r="J111">
        <v>4</v>
      </c>
      <c r="K111">
        <v>2699</v>
      </c>
      <c r="L111">
        <v>5</v>
      </c>
      <c r="M111">
        <v>5000</v>
      </c>
      <c r="N111">
        <v>8</v>
      </c>
      <c r="O111">
        <v>1</v>
      </c>
      <c r="P111">
        <v>3</v>
      </c>
      <c r="Q111">
        <v>3</v>
      </c>
      <c r="R111">
        <v>3</v>
      </c>
      <c r="S111">
        <v>2000</v>
      </c>
      <c r="T111">
        <v>4</v>
      </c>
      <c r="U111">
        <v>135</v>
      </c>
      <c r="V111">
        <v>3879.6000000000004</v>
      </c>
      <c r="W111">
        <v>7</v>
      </c>
      <c r="X111">
        <v>9699</v>
      </c>
      <c r="Y111">
        <f t="shared" si="5"/>
        <v>9014.6</v>
      </c>
      <c r="Z111">
        <f t="shared" si="6"/>
        <v>684.39999999999964</v>
      </c>
      <c r="AA111">
        <f t="shared" si="7"/>
        <v>56</v>
      </c>
      <c r="AB111" t="str">
        <f t="shared" si="8"/>
        <v>3445</v>
      </c>
      <c r="AC111" t="str">
        <f t="shared" si="9"/>
        <v>3141415</v>
      </c>
    </row>
    <row r="112" spans="1:29" x14ac:dyDescent="0.3">
      <c r="A112">
        <f>_xlfn.XLOOKUP(E112,Date_Dim!B:B,Date_Dim!A:A)</f>
        <v>103</v>
      </c>
      <c r="B112">
        <v>2022</v>
      </c>
      <c r="C112">
        <v>71</v>
      </c>
      <c r="D112">
        <v>1</v>
      </c>
      <c r="E112" s="1">
        <v>45637</v>
      </c>
      <c r="F112">
        <v>2</v>
      </c>
      <c r="G112" s="1">
        <v>45667</v>
      </c>
      <c r="H112" s="1">
        <v>45709</v>
      </c>
      <c r="I112">
        <v>4</v>
      </c>
      <c r="J112">
        <v>2</v>
      </c>
      <c r="K112">
        <v>1999</v>
      </c>
      <c r="L112">
        <v>2</v>
      </c>
      <c r="M112">
        <v>4000</v>
      </c>
      <c r="N112">
        <v>14</v>
      </c>
      <c r="O112">
        <v>2</v>
      </c>
      <c r="P112">
        <v>1</v>
      </c>
      <c r="Q112">
        <v>1</v>
      </c>
      <c r="R112">
        <v>1</v>
      </c>
      <c r="S112">
        <v>0</v>
      </c>
      <c r="T112">
        <v>2</v>
      </c>
      <c r="U112">
        <v>175</v>
      </c>
      <c r="V112">
        <v>2399.6</v>
      </c>
      <c r="W112">
        <v>2</v>
      </c>
      <c r="X112">
        <v>5999</v>
      </c>
      <c r="Y112">
        <f t="shared" si="5"/>
        <v>6574.6</v>
      </c>
      <c r="Z112">
        <f t="shared" si="6"/>
        <v>-575.60000000000036</v>
      </c>
      <c r="AA112">
        <f t="shared" si="7"/>
        <v>42</v>
      </c>
      <c r="AB112" t="str">
        <f t="shared" si="8"/>
        <v>1222</v>
      </c>
      <c r="AC112" t="str">
        <f t="shared" si="9"/>
        <v>1121212</v>
      </c>
    </row>
    <row r="113" spans="1:29" x14ac:dyDescent="0.3">
      <c r="A113">
        <f>_xlfn.XLOOKUP(E113,Date_Dim!B:B,Date_Dim!A:A)</f>
        <v>104</v>
      </c>
      <c r="B113">
        <v>2024</v>
      </c>
      <c r="C113">
        <v>71</v>
      </c>
      <c r="D113">
        <v>1</v>
      </c>
      <c r="E113" s="1">
        <v>45279</v>
      </c>
      <c r="F113">
        <v>11</v>
      </c>
      <c r="G113" s="1">
        <v>45309</v>
      </c>
      <c r="H113" s="1">
        <v>45323</v>
      </c>
      <c r="I113">
        <v>1</v>
      </c>
      <c r="J113">
        <v>2</v>
      </c>
      <c r="K113">
        <v>1459</v>
      </c>
      <c r="L113">
        <v>10</v>
      </c>
      <c r="M113">
        <v>2000</v>
      </c>
      <c r="N113">
        <v>6</v>
      </c>
      <c r="O113">
        <v>1</v>
      </c>
      <c r="P113">
        <v>2</v>
      </c>
      <c r="Q113">
        <v>2</v>
      </c>
      <c r="R113">
        <v>2</v>
      </c>
      <c r="S113">
        <v>6000</v>
      </c>
      <c r="T113">
        <v>2</v>
      </c>
      <c r="U113">
        <v>175</v>
      </c>
      <c r="V113">
        <v>2837.7000000000003</v>
      </c>
      <c r="W113">
        <v>3</v>
      </c>
      <c r="X113">
        <v>9459</v>
      </c>
      <c r="Y113">
        <f t="shared" si="5"/>
        <v>5012.7000000000007</v>
      </c>
      <c r="Z113">
        <f t="shared" si="6"/>
        <v>4446.2999999999993</v>
      </c>
      <c r="AA113">
        <f t="shared" si="7"/>
        <v>14</v>
      </c>
      <c r="AB113" t="str">
        <f t="shared" si="8"/>
        <v>22211</v>
      </c>
      <c r="AC113" t="str">
        <f t="shared" si="9"/>
        <v>21212111</v>
      </c>
    </row>
    <row r="114" spans="1:29" x14ac:dyDescent="0.3">
      <c r="A114">
        <f>_xlfn.XLOOKUP(E114,Date_Dim!B:B,Date_Dim!A:A)</f>
        <v>105</v>
      </c>
      <c r="B114">
        <v>2022</v>
      </c>
      <c r="C114">
        <v>72</v>
      </c>
      <c r="D114">
        <v>1</v>
      </c>
      <c r="E114" s="1">
        <v>45362</v>
      </c>
      <c r="F114">
        <v>5</v>
      </c>
      <c r="G114" s="1">
        <v>45392</v>
      </c>
      <c r="H114" s="1">
        <v>45448</v>
      </c>
      <c r="I114">
        <v>5</v>
      </c>
      <c r="J114">
        <v>4</v>
      </c>
      <c r="K114">
        <v>2699</v>
      </c>
      <c r="L114">
        <v>5</v>
      </c>
      <c r="M114">
        <v>5000</v>
      </c>
      <c r="N114">
        <v>8</v>
      </c>
      <c r="O114">
        <v>1</v>
      </c>
      <c r="P114">
        <v>5</v>
      </c>
      <c r="Q114">
        <v>5</v>
      </c>
      <c r="R114">
        <v>5</v>
      </c>
      <c r="S114">
        <v>8000</v>
      </c>
      <c r="T114">
        <v>3</v>
      </c>
      <c r="U114">
        <v>125</v>
      </c>
      <c r="V114">
        <v>6279.6</v>
      </c>
      <c r="W114">
        <v>4</v>
      </c>
      <c r="X114">
        <v>15699</v>
      </c>
      <c r="Y114">
        <f t="shared" si="5"/>
        <v>11404.6</v>
      </c>
      <c r="Z114">
        <f t="shared" si="6"/>
        <v>4294.3999999999996</v>
      </c>
      <c r="AA114">
        <f t="shared" si="7"/>
        <v>56</v>
      </c>
      <c r="AB114" t="str">
        <f t="shared" si="8"/>
        <v>5435</v>
      </c>
      <c r="AC114" t="str">
        <f t="shared" si="9"/>
        <v>5141315</v>
      </c>
    </row>
    <row r="115" spans="1:29" x14ac:dyDescent="0.3">
      <c r="A115">
        <f>_xlfn.XLOOKUP(E115,Date_Dim!B:B,Date_Dim!A:A)</f>
        <v>106</v>
      </c>
      <c r="B115">
        <v>2023</v>
      </c>
      <c r="C115">
        <v>73</v>
      </c>
      <c r="D115">
        <v>1</v>
      </c>
      <c r="E115" s="1">
        <v>44155</v>
      </c>
      <c r="F115">
        <v>6</v>
      </c>
      <c r="G115" s="1">
        <v>44185</v>
      </c>
      <c r="H115" s="1">
        <v>44227</v>
      </c>
      <c r="I115">
        <v>4</v>
      </c>
      <c r="J115">
        <v>4</v>
      </c>
      <c r="K115">
        <v>1999</v>
      </c>
      <c r="L115">
        <v>6</v>
      </c>
      <c r="M115">
        <v>3000</v>
      </c>
      <c r="N115">
        <v>9</v>
      </c>
      <c r="O115">
        <v>1</v>
      </c>
      <c r="P115">
        <v>3</v>
      </c>
      <c r="Q115">
        <v>3</v>
      </c>
      <c r="R115">
        <v>3</v>
      </c>
      <c r="S115">
        <v>2000</v>
      </c>
      <c r="T115">
        <v>4</v>
      </c>
      <c r="U115">
        <v>135</v>
      </c>
      <c r="V115">
        <v>2099.7000000000003</v>
      </c>
      <c r="W115">
        <v>7</v>
      </c>
      <c r="X115">
        <v>6999</v>
      </c>
      <c r="Y115">
        <f t="shared" si="5"/>
        <v>5234.7000000000007</v>
      </c>
      <c r="Z115">
        <f t="shared" si="6"/>
        <v>1764.2999999999993</v>
      </c>
      <c r="AA115">
        <f t="shared" si="7"/>
        <v>42</v>
      </c>
      <c r="AB115" t="str">
        <f t="shared" si="8"/>
        <v>3446</v>
      </c>
      <c r="AC115" t="str">
        <f t="shared" si="9"/>
        <v>3141416</v>
      </c>
    </row>
    <row r="116" spans="1:29" x14ac:dyDescent="0.3">
      <c r="A116">
        <f>_xlfn.XLOOKUP(E116,Date_Dim!B:B,Date_Dim!A:A)</f>
        <v>107</v>
      </c>
      <c r="B116">
        <v>2023</v>
      </c>
      <c r="C116">
        <v>74</v>
      </c>
      <c r="D116">
        <v>1</v>
      </c>
      <c r="E116" s="1">
        <v>44171</v>
      </c>
      <c r="F116">
        <v>6</v>
      </c>
      <c r="G116" s="1">
        <v>44201</v>
      </c>
      <c r="H116" s="1">
        <v>44243</v>
      </c>
      <c r="I116">
        <v>4</v>
      </c>
      <c r="J116">
        <v>4</v>
      </c>
      <c r="K116">
        <v>1999</v>
      </c>
      <c r="L116">
        <v>6</v>
      </c>
      <c r="M116">
        <v>3000</v>
      </c>
      <c r="N116">
        <v>9</v>
      </c>
      <c r="O116">
        <v>1</v>
      </c>
      <c r="P116">
        <v>3</v>
      </c>
      <c r="Q116">
        <v>3</v>
      </c>
      <c r="R116">
        <v>3</v>
      </c>
      <c r="S116">
        <v>2000</v>
      </c>
      <c r="T116">
        <v>4</v>
      </c>
      <c r="U116">
        <v>135</v>
      </c>
      <c r="V116">
        <v>2099.7000000000003</v>
      </c>
      <c r="W116">
        <v>7</v>
      </c>
      <c r="X116">
        <v>6999</v>
      </c>
      <c r="Y116">
        <f t="shared" si="5"/>
        <v>5234.7000000000007</v>
      </c>
      <c r="Z116">
        <f t="shared" si="6"/>
        <v>1764.2999999999993</v>
      </c>
      <c r="AA116">
        <f t="shared" si="7"/>
        <v>42</v>
      </c>
      <c r="AB116" t="str">
        <f t="shared" si="8"/>
        <v>3446</v>
      </c>
      <c r="AC116" t="str">
        <f t="shared" si="9"/>
        <v>3141416</v>
      </c>
    </row>
    <row r="117" spans="1:29" x14ac:dyDescent="0.3">
      <c r="A117">
        <f>_xlfn.XLOOKUP(E117,Date_Dim!B:B,Date_Dim!A:A)</f>
        <v>108</v>
      </c>
      <c r="B117">
        <v>2022</v>
      </c>
      <c r="C117">
        <v>75</v>
      </c>
      <c r="D117">
        <v>1</v>
      </c>
      <c r="E117" s="1">
        <v>45528</v>
      </c>
      <c r="F117">
        <v>17</v>
      </c>
      <c r="G117" s="1">
        <v>45558</v>
      </c>
      <c r="H117" s="1">
        <v>45600</v>
      </c>
      <c r="I117">
        <v>4</v>
      </c>
      <c r="J117">
        <v>1</v>
      </c>
      <c r="K117">
        <v>1999</v>
      </c>
      <c r="L117">
        <v>12</v>
      </c>
      <c r="M117">
        <v>1500</v>
      </c>
      <c r="N117">
        <v>11</v>
      </c>
      <c r="O117">
        <v>1</v>
      </c>
      <c r="P117">
        <v>4</v>
      </c>
      <c r="Q117">
        <v>4</v>
      </c>
      <c r="R117">
        <v>4</v>
      </c>
      <c r="S117">
        <v>0</v>
      </c>
      <c r="T117">
        <v>1</v>
      </c>
      <c r="U117">
        <v>0</v>
      </c>
      <c r="V117">
        <v>1049.7</v>
      </c>
      <c r="W117">
        <v>1</v>
      </c>
      <c r="X117">
        <v>3499</v>
      </c>
      <c r="Y117">
        <f t="shared" si="5"/>
        <v>2549.6999999999998</v>
      </c>
      <c r="Z117">
        <f t="shared" si="6"/>
        <v>949.30000000000018</v>
      </c>
      <c r="AA117">
        <f t="shared" si="7"/>
        <v>42</v>
      </c>
      <c r="AB117" t="str">
        <f t="shared" si="8"/>
        <v>41117</v>
      </c>
      <c r="AC117" t="str">
        <f t="shared" si="9"/>
        <v>41111117</v>
      </c>
    </row>
    <row r="118" spans="1:29" x14ac:dyDescent="0.3">
      <c r="A118">
        <f>_xlfn.XLOOKUP(E118,Date_Dim!B:B,Date_Dim!A:A)</f>
        <v>109</v>
      </c>
      <c r="B118">
        <v>2024</v>
      </c>
      <c r="C118">
        <v>75</v>
      </c>
      <c r="D118">
        <v>1</v>
      </c>
      <c r="E118" s="1">
        <v>45154</v>
      </c>
      <c r="F118">
        <v>5</v>
      </c>
      <c r="G118" s="1">
        <v>45184</v>
      </c>
      <c r="H118" s="1">
        <v>45240</v>
      </c>
      <c r="I118">
        <v>5</v>
      </c>
      <c r="J118">
        <v>4</v>
      </c>
      <c r="K118">
        <v>2699</v>
      </c>
      <c r="L118">
        <v>5</v>
      </c>
      <c r="M118">
        <v>5000</v>
      </c>
      <c r="N118">
        <v>8</v>
      </c>
      <c r="O118">
        <v>1</v>
      </c>
      <c r="P118">
        <v>3</v>
      </c>
      <c r="Q118">
        <v>3</v>
      </c>
      <c r="R118">
        <v>3</v>
      </c>
      <c r="S118">
        <v>2000</v>
      </c>
      <c r="T118">
        <v>3</v>
      </c>
      <c r="U118">
        <v>125</v>
      </c>
      <c r="V118">
        <v>2909.7000000000003</v>
      </c>
      <c r="W118">
        <v>4</v>
      </c>
      <c r="X118">
        <v>9699</v>
      </c>
      <c r="Y118">
        <f t="shared" si="5"/>
        <v>8034.7000000000007</v>
      </c>
      <c r="Z118">
        <f t="shared" si="6"/>
        <v>1664.2999999999993</v>
      </c>
      <c r="AA118">
        <f t="shared" si="7"/>
        <v>56</v>
      </c>
      <c r="AB118" t="str">
        <f t="shared" si="8"/>
        <v>3435</v>
      </c>
      <c r="AC118" t="str">
        <f t="shared" si="9"/>
        <v>3141315</v>
      </c>
    </row>
    <row r="119" spans="1:29" x14ac:dyDescent="0.3">
      <c r="A119">
        <f>_xlfn.XLOOKUP(E119,Date_Dim!B:B,Date_Dim!A:A)</f>
        <v>110</v>
      </c>
      <c r="B119">
        <v>2024</v>
      </c>
      <c r="C119">
        <v>76</v>
      </c>
      <c r="D119">
        <v>1</v>
      </c>
      <c r="E119" s="1">
        <v>45377</v>
      </c>
      <c r="F119">
        <v>24</v>
      </c>
      <c r="G119" s="1">
        <v>45407</v>
      </c>
      <c r="H119" s="1">
        <v>45449</v>
      </c>
      <c r="I119">
        <v>4</v>
      </c>
      <c r="J119">
        <v>3</v>
      </c>
      <c r="K119">
        <v>1999</v>
      </c>
      <c r="L119">
        <v>3</v>
      </c>
      <c r="M119">
        <v>3000</v>
      </c>
      <c r="N119">
        <v>12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2</v>
      </c>
      <c r="U119">
        <v>175</v>
      </c>
      <c r="V119">
        <v>1999.6000000000001</v>
      </c>
      <c r="W119">
        <v>2</v>
      </c>
      <c r="X119">
        <v>4999</v>
      </c>
      <c r="Y119">
        <f t="shared" si="5"/>
        <v>5174.6000000000004</v>
      </c>
      <c r="Z119">
        <f t="shared" si="6"/>
        <v>-175.60000000000036</v>
      </c>
      <c r="AA119">
        <f t="shared" si="7"/>
        <v>42</v>
      </c>
      <c r="AB119" t="str">
        <f t="shared" si="8"/>
        <v>13224</v>
      </c>
      <c r="AC119" t="str">
        <f t="shared" si="9"/>
        <v>11312124</v>
      </c>
    </row>
    <row r="120" spans="1:29" x14ac:dyDescent="0.3">
      <c r="A120">
        <f>_xlfn.XLOOKUP(E120,Date_Dim!B:B,Date_Dim!A:A)</f>
        <v>111</v>
      </c>
      <c r="B120">
        <v>2021</v>
      </c>
      <c r="C120">
        <v>76</v>
      </c>
      <c r="D120">
        <v>1</v>
      </c>
      <c r="E120" s="1">
        <v>45324</v>
      </c>
      <c r="F120">
        <v>6</v>
      </c>
      <c r="G120" s="1">
        <v>45354</v>
      </c>
      <c r="H120" s="1">
        <v>45396</v>
      </c>
      <c r="I120">
        <v>4</v>
      </c>
      <c r="J120">
        <v>4</v>
      </c>
      <c r="K120">
        <v>1999</v>
      </c>
      <c r="L120">
        <v>6</v>
      </c>
      <c r="M120">
        <v>3000</v>
      </c>
      <c r="N120">
        <v>9</v>
      </c>
      <c r="O120">
        <v>1</v>
      </c>
      <c r="P120">
        <v>4</v>
      </c>
      <c r="Q120">
        <v>4</v>
      </c>
      <c r="R120">
        <v>4</v>
      </c>
      <c r="S120">
        <v>0</v>
      </c>
      <c r="T120">
        <v>4</v>
      </c>
      <c r="U120">
        <v>135</v>
      </c>
      <c r="V120">
        <v>1999.6000000000001</v>
      </c>
      <c r="W120">
        <v>5</v>
      </c>
      <c r="X120">
        <v>4999</v>
      </c>
      <c r="Y120">
        <f t="shared" si="5"/>
        <v>5134.6000000000004</v>
      </c>
      <c r="Z120">
        <f t="shared" si="6"/>
        <v>-135.60000000000036</v>
      </c>
      <c r="AA120">
        <f t="shared" si="7"/>
        <v>42</v>
      </c>
      <c r="AB120" t="str">
        <f t="shared" si="8"/>
        <v>4446</v>
      </c>
      <c r="AC120" t="str">
        <f t="shared" si="9"/>
        <v>4141416</v>
      </c>
    </row>
    <row r="121" spans="1:29" x14ac:dyDescent="0.3">
      <c r="A121">
        <f>_xlfn.XLOOKUP(E121,Date_Dim!B:B,Date_Dim!A:A)</f>
        <v>112</v>
      </c>
      <c r="B121">
        <v>2024</v>
      </c>
      <c r="C121">
        <v>77</v>
      </c>
      <c r="D121">
        <v>1</v>
      </c>
      <c r="E121" s="1">
        <v>43840</v>
      </c>
      <c r="F121">
        <v>17</v>
      </c>
      <c r="G121" s="1">
        <v>43870</v>
      </c>
      <c r="H121" s="1">
        <v>43912</v>
      </c>
      <c r="I121">
        <v>4</v>
      </c>
      <c r="J121">
        <v>1</v>
      </c>
      <c r="K121">
        <v>1999</v>
      </c>
      <c r="L121">
        <v>12</v>
      </c>
      <c r="M121">
        <v>1500</v>
      </c>
      <c r="N121">
        <v>11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1</v>
      </c>
      <c r="U121">
        <v>0</v>
      </c>
      <c r="V121">
        <v>1399.6000000000001</v>
      </c>
      <c r="W121">
        <v>1</v>
      </c>
      <c r="X121">
        <v>3499</v>
      </c>
      <c r="Y121">
        <f t="shared" si="5"/>
        <v>2899.6000000000004</v>
      </c>
      <c r="Z121">
        <f t="shared" si="6"/>
        <v>599.39999999999964</v>
      </c>
      <c r="AA121">
        <f t="shared" si="7"/>
        <v>42</v>
      </c>
      <c r="AB121" t="str">
        <f t="shared" si="8"/>
        <v>11117</v>
      </c>
      <c r="AC121" t="str">
        <f t="shared" si="9"/>
        <v>11111117</v>
      </c>
    </row>
    <row r="122" spans="1:29" x14ac:dyDescent="0.3">
      <c r="A122">
        <f>_xlfn.XLOOKUP(E122,Date_Dim!B:B,Date_Dim!A:A)</f>
        <v>113</v>
      </c>
      <c r="B122">
        <v>2021</v>
      </c>
      <c r="C122">
        <v>77</v>
      </c>
      <c r="D122">
        <v>1</v>
      </c>
      <c r="E122" s="1">
        <v>43989</v>
      </c>
      <c r="F122">
        <v>11</v>
      </c>
      <c r="G122" s="1">
        <v>44019</v>
      </c>
      <c r="H122" s="1">
        <v>44033</v>
      </c>
      <c r="I122">
        <v>1</v>
      </c>
      <c r="J122">
        <v>2</v>
      </c>
      <c r="K122">
        <v>1459</v>
      </c>
      <c r="L122">
        <v>10</v>
      </c>
      <c r="M122">
        <v>2000</v>
      </c>
      <c r="N122">
        <v>6</v>
      </c>
      <c r="O122">
        <v>1</v>
      </c>
      <c r="P122">
        <v>2</v>
      </c>
      <c r="Q122">
        <v>2</v>
      </c>
      <c r="R122">
        <v>2</v>
      </c>
      <c r="S122">
        <v>6000</v>
      </c>
      <c r="T122">
        <v>2</v>
      </c>
      <c r="U122">
        <v>175</v>
      </c>
      <c r="V122">
        <v>3783.6000000000004</v>
      </c>
      <c r="W122">
        <v>3</v>
      </c>
      <c r="X122">
        <v>9459</v>
      </c>
      <c r="Y122">
        <f t="shared" si="5"/>
        <v>5958.6</v>
      </c>
      <c r="Z122">
        <f t="shared" si="6"/>
        <v>3500.3999999999996</v>
      </c>
      <c r="AA122">
        <f t="shared" si="7"/>
        <v>14</v>
      </c>
      <c r="AB122" t="str">
        <f t="shared" si="8"/>
        <v>22211</v>
      </c>
      <c r="AC122" t="str">
        <f t="shared" si="9"/>
        <v>21212111</v>
      </c>
    </row>
    <row r="123" spans="1:29" x14ac:dyDescent="0.3">
      <c r="A123">
        <f>_xlfn.XLOOKUP(E123,Date_Dim!B:B,Date_Dim!A:A)</f>
        <v>74</v>
      </c>
      <c r="B123">
        <v>2021</v>
      </c>
      <c r="C123">
        <v>78</v>
      </c>
      <c r="D123">
        <v>1</v>
      </c>
      <c r="E123" s="1">
        <v>44398</v>
      </c>
      <c r="F123">
        <v>15</v>
      </c>
      <c r="G123" s="1">
        <v>44428</v>
      </c>
      <c r="H123" s="1">
        <v>44456</v>
      </c>
      <c r="I123">
        <v>3</v>
      </c>
      <c r="J123">
        <v>2</v>
      </c>
      <c r="K123">
        <v>1689</v>
      </c>
      <c r="L123">
        <v>10</v>
      </c>
      <c r="M123">
        <v>2500</v>
      </c>
      <c r="N123">
        <v>6</v>
      </c>
      <c r="O123">
        <v>1</v>
      </c>
      <c r="P123">
        <v>2</v>
      </c>
      <c r="Q123">
        <v>2</v>
      </c>
      <c r="R123">
        <v>2</v>
      </c>
      <c r="S123">
        <v>6000</v>
      </c>
      <c r="T123">
        <v>2</v>
      </c>
      <c r="U123">
        <v>175</v>
      </c>
      <c r="V123">
        <v>4075.6000000000004</v>
      </c>
      <c r="W123">
        <v>3</v>
      </c>
      <c r="X123">
        <v>10189</v>
      </c>
      <c r="Y123">
        <f t="shared" si="5"/>
        <v>6750.6</v>
      </c>
      <c r="Z123">
        <f t="shared" si="6"/>
        <v>3438.3999999999996</v>
      </c>
      <c r="AA123">
        <f t="shared" si="7"/>
        <v>28</v>
      </c>
      <c r="AB123" t="str">
        <f t="shared" si="8"/>
        <v>22215</v>
      </c>
      <c r="AC123" t="str">
        <f t="shared" si="9"/>
        <v>21212115</v>
      </c>
    </row>
    <row r="124" spans="1:29" x14ac:dyDescent="0.3">
      <c r="A124">
        <f>_xlfn.XLOOKUP(E124,Date_Dim!B:B,Date_Dim!A:A)</f>
        <v>114</v>
      </c>
      <c r="B124">
        <v>2024</v>
      </c>
      <c r="C124">
        <v>78</v>
      </c>
      <c r="D124">
        <v>1</v>
      </c>
      <c r="E124" s="1">
        <v>44884</v>
      </c>
      <c r="F124">
        <v>17</v>
      </c>
      <c r="G124" s="1">
        <v>44914</v>
      </c>
      <c r="H124" s="1">
        <v>44956</v>
      </c>
      <c r="I124">
        <v>4</v>
      </c>
      <c r="J124">
        <v>1</v>
      </c>
      <c r="K124">
        <v>1999</v>
      </c>
      <c r="L124">
        <v>12</v>
      </c>
      <c r="M124">
        <v>1500</v>
      </c>
      <c r="N124">
        <v>11</v>
      </c>
      <c r="O124">
        <v>1</v>
      </c>
      <c r="P124">
        <v>4</v>
      </c>
      <c r="Q124">
        <v>4</v>
      </c>
      <c r="R124">
        <v>4</v>
      </c>
      <c r="S124">
        <v>0</v>
      </c>
      <c r="T124">
        <v>1</v>
      </c>
      <c r="U124">
        <v>0</v>
      </c>
      <c r="V124">
        <v>1049.7</v>
      </c>
      <c r="W124">
        <v>8</v>
      </c>
      <c r="X124">
        <v>3499</v>
      </c>
      <c r="Y124">
        <f t="shared" si="5"/>
        <v>2549.6999999999998</v>
      </c>
      <c r="Z124">
        <f t="shared" si="6"/>
        <v>949.30000000000018</v>
      </c>
      <c r="AA124">
        <f t="shared" si="7"/>
        <v>42</v>
      </c>
      <c r="AB124" t="str">
        <f t="shared" si="8"/>
        <v>41117</v>
      </c>
      <c r="AC124" t="str">
        <f t="shared" si="9"/>
        <v>41111117</v>
      </c>
    </row>
    <row r="125" spans="1:29" x14ac:dyDescent="0.3">
      <c r="A125">
        <f>_xlfn.XLOOKUP(E125,Date_Dim!B:B,Date_Dim!A:A)</f>
        <v>115</v>
      </c>
      <c r="B125">
        <v>2024</v>
      </c>
      <c r="C125">
        <v>79</v>
      </c>
      <c r="D125">
        <v>1</v>
      </c>
      <c r="E125" s="1">
        <v>45438</v>
      </c>
      <c r="F125">
        <v>2</v>
      </c>
      <c r="G125" s="1">
        <v>45468</v>
      </c>
      <c r="H125" s="1">
        <v>45510</v>
      </c>
      <c r="I125">
        <v>4</v>
      </c>
      <c r="J125">
        <v>2</v>
      </c>
      <c r="K125">
        <v>1999</v>
      </c>
      <c r="L125">
        <v>2</v>
      </c>
      <c r="M125">
        <v>4000</v>
      </c>
      <c r="N125">
        <v>14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2</v>
      </c>
      <c r="U125">
        <v>175</v>
      </c>
      <c r="V125">
        <v>1799.7000000000003</v>
      </c>
      <c r="W125">
        <v>2</v>
      </c>
      <c r="X125">
        <v>5999</v>
      </c>
      <c r="Y125">
        <f t="shared" si="5"/>
        <v>5974.7000000000007</v>
      </c>
      <c r="Z125">
        <f t="shared" si="6"/>
        <v>24.299999999999272</v>
      </c>
      <c r="AA125">
        <f t="shared" si="7"/>
        <v>42</v>
      </c>
      <c r="AB125" t="str">
        <f t="shared" si="8"/>
        <v>1222</v>
      </c>
      <c r="AC125" t="str">
        <f t="shared" si="9"/>
        <v>1121212</v>
      </c>
    </row>
    <row r="126" spans="1:29" x14ac:dyDescent="0.3">
      <c r="A126">
        <f>_xlfn.XLOOKUP(E126,Date_Dim!B:B,Date_Dim!A:A)</f>
        <v>116</v>
      </c>
      <c r="B126">
        <v>2021</v>
      </c>
      <c r="C126">
        <v>79</v>
      </c>
      <c r="D126">
        <v>1</v>
      </c>
      <c r="E126" s="1">
        <v>45123</v>
      </c>
      <c r="F126">
        <v>8</v>
      </c>
      <c r="G126" s="1">
        <v>45153</v>
      </c>
      <c r="H126" s="1">
        <v>45167</v>
      </c>
      <c r="I126">
        <v>1</v>
      </c>
      <c r="J126">
        <v>4</v>
      </c>
      <c r="K126">
        <v>1459</v>
      </c>
      <c r="L126">
        <v>8</v>
      </c>
      <c r="M126">
        <v>1800</v>
      </c>
      <c r="N126">
        <v>2</v>
      </c>
      <c r="O126">
        <v>1</v>
      </c>
      <c r="P126">
        <v>4</v>
      </c>
      <c r="Q126">
        <v>4</v>
      </c>
      <c r="R126">
        <v>4</v>
      </c>
      <c r="S126">
        <v>0</v>
      </c>
      <c r="T126">
        <v>5</v>
      </c>
      <c r="U126">
        <v>155</v>
      </c>
      <c r="V126">
        <v>977.70000000000016</v>
      </c>
      <c r="W126">
        <v>6</v>
      </c>
      <c r="X126">
        <v>3259</v>
      </c>
      <c r="Y126">
        <f t="shared" si="5"/>
        <v>2932.7000000000003</v>
      </c>
      <c r="Z126">
        <f t="shared" si="6"/>
        <v>326.29999999999973</v>
      </c>
      <c r="AA126">
        <f t="shared" si="7"/>
        <v>14</v>
      </c>
      <c r="AB126" t="str">
        <f t="shared" si="8"/>
        <v>4458</v>
      </c>
      <c r="AC126" t="str">
        <f t="shared" si="9"/>
        <v>4141518</v>
      </c>
    </row>
    <row r="127" spans="1:29" x14ac:dyDescent="0.3">
      <c r="A127">
        <f>_xlfn.XLOOKUP(E127,Date_Dim!B:B,Date_Dim!A:A)</f>
        <v>117</v>
      </c>
      <c r="B127">
        <v>2023</v>
      </c>
      <c r="C127">
        <v>80</v>
      </c>
      <c r="D127">
        <v>1</v>
      </c>
      <c r="E127" s="1">
        <v>43872</v>
      </c>
      <c r="F127">
        <v>21</v>
      </c>
      <c r="G127" s="1">
        <v>43902</v>
      </c>
      <c r="H127" s="1">
        <v>43944</v>
      </c>
      <c r="I127">
        <v>4</v>
      </c>
      <c r="J127">
        <v>1</v>
      </c>
      <c r="K127">
        <v>1999</v>
      </c>
      <c r="L127">
        <v>5</v>
      </c>
      <c r="M127">
        <v>3200</v>
      </c>
      <c r="N127">
        <v>8</v>
      </c>
      <c r="O127">
        <v>1</v>
      </c>
      <c r="P127">
        <v>4</v>
      </c>
      <c r="Q127">
        <v>4</v>
      </c>
      <c r="R127">
        <v>4</v>
      </c>
      <c r="S127">
        <v>0</v>
      </c>
      <c r="T127">
        <v>8</v>
      </c>
      <c r="U127">
        <v>80</v>
      </c>
      <c r="V127">
        <v>2079.6</v>
      </c>
      <c r="W127">
        <v>8</v>
      </c>
      <c r="X127">
        <v>5199</v>
      </c>
      <c r="Y127">
        <f t="shared" si="5"/>
        <v>5359.6</v>
      </c>
      <c r="Z127">
        <f t="shared" si="6"/>
        <v>-160.60000000000036</v>
      </c>
      <c r="AA127">
        <f t="shared" si="7"/>
        <v>42</v>
      </c>
      <c r="AB127" t="str">
        <f t="shared" si="8"/>
        <v>41821</v>
      </c>
      <c r="AC127" t="str">
        <f t="shared" si="9"/>
        <v>41118121</v>
      </c>
    </row>
    <row r="128" spans="1:29" x14ac:dyDescent="0.3">
      <c r="A128">
        <f>_xlfn.XLOOKUP(E128,Date_Dim!B:B,Date_Dim!A:A)</f>
        <v>118</v>
      </c>
      <c r="B128">
        <v>2023</v>
      </c>
      <c r="C128">
        <v>81</v>
      </c>
      <c r="D128">
        <v>1</v>
      </c>
      <c r="E128" s="1">
        <v>45496</v>
      </c>
      <c r="F128">
        <v>2</v>
      </c>
      <c r="G128" s="1">
        <v>45526</v>
      </c>
      <c r="H128" s="1">
        <v>45568</v>
      </c>
      <c r="I128">
        <v>4</v>
      </c>
      <c r="J128">
        <v>2</v>
      </c>
      <c r="K128">
        <v>1999</v>
      </c>
      <c r="L128">
        <v>2</v>
      </c>
      <c r="M128">
        <v>4000</v>
      </c>
      <c r="N128">
        <v>14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2</v>
      </c>
      <c r="U128">
        <v>175</v>
      </c>
      <c r="V128">
        <v>2399.6</v>
      </c>
      <c r="W128">
        <v>2</v>
      </c>
      <c r="X128">
        <v>5999</v>
      </c>
      <c r="Y128">
        <f t="shared" si="5"/>
        <v>6574.6</v>
      </c>
      <c r="Z128">
        <f t="shared" si="6"/>
        <v>-575.60000000000036</v>
      </c>
      <c r="AA128">
        <f t="shared" si="7"/>
        <v>42</v>
      </c>
      <c r="AB128" t="str">
        <f t="shared" si="8"/>
        <v>1222</v>
      </c>
      <c r="AC128" t="str">
        <f t="shared" si="9"/>
        <v>1121212</v>
      </c>
    </row>
    <row r="129" spans="1:29" x14ac:dyDescent="0.3">
      <c r="A129">
        <f>_xlfn.XLOOKUP(E129,Date_Dim!B:B,Date_Dim!A:A)</f>
        <v>119</v>
      </c>
      <c r="B129">
        <v>2020</v>
      </c>
      <c r="C129">
        <v>81</v>
      </c>
      <c r="D129">
        <v>1</v>
      </c>
      <c r="E129" s="1">
        <v>44931</v>
      </c>
      <c r="F129">
        <v>18</v>
      </c>
      <c r="G129" s="1">
        <v>44961</v>
      </c>
      <c r="H129" s="1">
        <v>44989</v>
      </c>
      <c r="I129">
        <v>3</v>
      </c>
      <c r="J129">
        <v>2</v>
      </c>
      <c r="K129">
        <v>1689</v>
      </c>
      <c r="L129">
        <v>10</v>
      </c>
      <c r="M129">
        <v>2500</v>
      </c>
      <c r="N129">
        <v>6</v>
      </c>
      <c r="O129">
        <v>1</v>
      </c>
      <c r="P129">
        <v>1</v>
      </c>
      <c r="Q129">
        <v>1</v>
      </c>
      <c r="R129">
        <v>1</v>
      </c>
      <c r="S129">
        <v>0</v>
      </c>
      <c r="T129">
        <v>2</v>
      </c>
      <c r="U129">
        <v>175</v>
      </c>
      <c r="V129">
        <v>1675.6000000000001</v>
      </c>
      <c r="W129">
        <v>3</v>
      </c>
      <c r="X129">
        <v>4189</v>
      </c>
      <c r="Y129">
        <f t="shared" si="5"/>
        <v>4350.6000000000004</v>
      </c>
      <c r="Z129">
        <f t="shared" si="6"/>
        <v>-161.60000000000036</v>
      </c>
      <c r="AA129">
        <f t="shared" si="7"/>
        <v>28</v>
      </c>
      <c r="AB129" t="str">
        <f t="shared" si="8"/>
        <v>12218</v>
      </c>
      <c r="AC129" t="str">
        <f t="shared" si="9"/>
        <v>11212118</v>
      </c>
    </row>
    <row r="130" spans="1:29" x14ac:dyDescent="0.3">
      <c r="A130">
        <f>_xlfn.XLOOKUP(E130,Date_Dim!B:B,Date_Dim!A:A)</f>
        <v>120</v>
      </c>
      <c r="B130">
        <v>2022</v>
      </c>
      <c r="C130">
        <v>82</v>
      </c>
      <c r="D130">
        <v>2</v>
      </c>
      <c r="E130" s="1">
        <v>45462</v>
      </c>
      <c r="F130">
        <v>8</v>
      </c>
      <c r="G130" s="1">
        <v>45492</v>
      </c>
      <c r="H130" s="1">
        <v>45506</v>
      </c>
      <c r="I130">
        <v>1</v>
      </c>
      <c r="J130">
        <v>4</v>
      </c>
      <c r="K130">
        <v>1459</v>
      </c>
      <c r="L130">
        <v>8</v>
      </c>
      <c r="M130">
        <v>1800</v>
      </c>
      <c r="N130">
        <v>2</v>
      </c>
      <c r="O130">
        <v>1</v>
      </c>
      <c r="P130">
        <v>4</v>
      </c>
      <c r="Q130">
        <v>4</v>
      </c>
      <c r="R130">
        <v>4</v>
      </c>
      <c r="S130">
        <v>0</v>
      </c>
      <c r="T130">
        <v>5</v>
      </c>
      <c r="U130">
        <v>155</v>
      </c>
      <c r="V130">
        <v>977.70000000000016</v>
      </c>
      <c r="W130">
        <v>6</v>
      </c>
      <c r="X130">
        <v>3259</v>
      </c>
      <c r="Y130">
        <f t="shared" ref="Y130:Y193" si="10">M130+U130+V130</f>
        <v>2932.7000000000003</v>
      </c>
      <c r="Z130">
        <f t="shared" ref="Z130:Z193" si="11">X130-Y130</f>
        <v>326.29999999999973</v>
      </c>
      <c r="AA130">
        <f t="shared" ref="AA130:AA193" si="12">H130-G130</f>
        <v>14</v>
      </c>
      <c r="AB130" t="str">
        <f t="shared" ref="AB130:AB193" si="13">P130&amp;J130&amp;T130&amp;F130</f>
        <v>4458</v>
      </c>
      <c r="AC130" t="str">
        <f t="shared" ref="AC130:AC193" si="14">P130&amp;"1"&amp;J130&amp;"1"&amp;T130&amp;"1"&amp;F130</f>
        <v>4141518</v>
      </c>
    </row>
    <row r="131" spans="1:29" x14ac:dyDescent="0.3">
      <c r="A131">
        <f>_xlfn.XLOOKUP(E131,Date_Dim!B:B,Date_Dim!A:A)</f>
        <v>121</v>
      </c>
      <c r="B131">
        <v>2020</v>
      </c>
      <c r="C131">
        <v>83</v>
      </c>
      <c r="D131">
        <v>2</v>
      </c>
      <c r="E131" s="1">
        <v>44750</v>
      </c>
      <c r="F131">
        <v>2</v>
      </c>
      <c r="G131" s="1">
        <v>44780</v>
      </c>
      <c r="H131" s="1">
        <v>44822</v>
      </c>
      <c r="I131">
        <v>4</v>
      </c>
      <c r="J131">
        <v>2</v>
      </c>
      <c r="K131">
        <v>1999</v>
      </c>
      <c r="L131">
        <v>2</v>
      </c>
      <c r="M131">
        <v>4000</v>
      </c>
      <c r="N131">
        <v>14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2</v>
      </c>
      <c r="U131">
        <v>175</v>
      </c>
      <c r="V131">
        <v>1799.7000000000003</v>
      </c>
      <c r="W131">
        <v>2</v>
      </c>
      <c r="X131">
        <v>5999</v>
      </c>
      <c r="Y131">
        <f t="shared" si="10"/>
        <v>5974.7000000000007</v>
      </c>
      <c r="Z131">
        <f t="shared" si="11"/>
        <v>24.299999999999272</v>
      </c>
      <c r="AA131">
        <f t="shared" si="12"/>
        <v>42</v>
      </c>
      <c r="AB131" t="str">
        <f t="shared" si="13"/>
        <v>1222</v>
      </c>
      <c r="AC131" t="str">
        <f t="shared" si="14"/>
        <v>1121212</v>
      </c>
    </row>
    <row r="132" spans="1:29" x14ac:dyDescent="0.3">
      <c r="A132">
        <f>_xlfn.XLOOKUP(E132,Date_Dim!B:B,Date_Dim!A:A)</f>
        <v>122</v>
      </c>
      <c r="B132">
        <v>2023</v>
      </c>
      <c r="C132">
        <v>83</v>
      </c>
      <c r="D132">
        <v>2</v>
      </c>
      <c r="E132" s="1">
        <v>44987</v>
      </c>
      <c r="F132">
        <v>3</v>
      </c>
      <c r="G132" s="1">
        <v>45017</v>
      </c>
      <c r="H132" s="1">
        <v>45045</v>
      </c>
      <c r="I132">
        <v>3</v>
      </c>
      <c r="J132">
        <v>3</v>
      </c>
      <c r="K132">
        <v>1689</v>
      </c>
      <c r="L132">
        <v>3</v>
      </c>
      <c r="M132">
        <v>2000</v>
      </c>
      <c r="N132">
        <v>12</v>
      </c>
      <c r="O132">
        <v>1</v>
      </c>
      <c r="P132">
        <v>1</v>
      </c>
      <c r="Q132">
        <v>1</v>
      </c>
      <c r="R132">
        <v>1</v>
      </c>
      <c r="S132">
        <v>0</v>
      </c>
      <c r="T132">
        <v>2</v>
      </c>
      <c r="U132">
        <v>175</v>
      </c>
      <c r="V132">
        <v>1475.6000000000001</v>
      </c>
      <c r="W132">
        <v>2</v>
      </c>
      <c r="X132">
        <v>3689</v>
      </c>
      <c r="Y132">
        <f t="shared" si="10"/>
        <v>3650.6000000000004</v>
      </c>
      <c r="Z132">
        <f t="shared" si="11"/>
        <v>38.399999999999636</v>
      </c>
      <c r="AA132">
        <f t="shared" si="12"/>
        <v>28</v>
      </c>
      <c r="AB132" t="str">
        <f t="shared" si="13"/>
        <v>1323</v>
      </c>
      <c r="AC132" t="str">
        <f t="shared" si="14"/>
        <v>1131213</v>
      </c>
    </row>
    <row r="133" spans="1:29" x14ac:dyDescent="0.3">
      <c r="A133">
        <f>_xlfn.XLOOKUP(E133,Date_Dim!B:B,Date_Dim!A:A)</f>
        <v>123</v>
      </c>
      <c r="B133">
        <v>2023</v>
      </c>
      <c r="C133">
        <v>84</v>
      </c>
      <c r="D133">
        <v>2</v>
      </c>
      <c r="E133" s="1">
        <v>44214</v>
      </c>
      <c r="F133">
        <v>11</v>
      </c>
      <c r="G133" s="1">
        <v>44244</v>
      </c>
      <c r="H133" s="1">
        <v>44258</v>
      </c>
      <c r="I133">
        <v>1</v>
      </c>
      <c r="J133">
        <v>2</v>
      </c>
      <c r="K133">
        <v>1459</v>
      </c>
      <c r="L133">
        <v>10</v>
      </c>
      <c r="M133">
        <v>2000</v>
      </c>
      <c r="N133">
        <v>6</v>
      </c>
      <c r="O133">
        <v>1</v>
      </c>
      <c r="P133">
        <v>2</v>
      </c>
      <c r="Q133">
        <v>2</v>
      </c>
      <c r="R133">
        <v>2</v>
      </c>
      <c r="S133">
        <v>6000</v>
      </c>
      <c r="T133">
        <v>2</v>
      </c>
      <c r="U133">
        <v>175</v>
      </c>
      <c r="V133">
        <v>3783.6000000000004</v>
      </c>
      <c r="W133">
        <v>3</v>
      </c>
      <c r="X133">
        <v>9459</v>
      </c>
      <c r="Y133">
        <f t="shared" si="10"/>
        <v>5958.6</v>
      </c>
      <c r="Z133">
        <f t="shared" si="11"/>
        <v>3500.3999999999996</v>
      </c>
      <c r="AA133">
        <f t="shared" si="12"/>
        <v>14</v>
      </c>
      <c r="AB133" t="str">
        <f t="shared" si="13"/>
        <v>22211</v>
      </c>
      <c r="AC133" t="str">
        <f t="shared" si="14"/>
        <v>21212111</v>
      </c>
    </row>
    <row r="134" spans="1:29" x14ac:dyDescent="0.3">
      <c r="A134">
        <f>_xlfn.XLOOKUP(E134,Date_Dim!B:B,Date_Dim!A:A)</f>
        <v>124</v>
      </c>
      <c r="B134">
        <v>2024</v>
      </c>
      <c r="C134">
        <v>85</v>
      </c>
      <c r="D134">
        <v>2</v>
      </c>
      <c r="E134" s="1">
        <v>44653</v>
      </c>
      <c r="F134">
        <v>5</v>
      </c>
      <c r="G134" s="1">
        <v>44683</v>
      </c>
      <c r="H134" s="1">
        <v>44739</v>
      </c>
      <c r="I134">
        <v>5</v>
      </c>
      <c r="J134">
        <v>4</v>
      </c>
      <c r="K134">
        <v>2699</v>
      </c>
      <c r="L134">
        <v>5</v>
      </c>
      <c r="M134">
        <v>5000</v>
      </c>
      <c r="N134">
        <v>8</v>
      </c>
      <c r="O134">
        <v>1</v>
      </c>
      <c r="P134">
        <v>3</v>
      </c>
      <c r="Q134">
        <v>3</v>
      </c>
      <c r="R134">
        <v>3</v>
      </c>
      <c r="S134">
        <v>2000</v>
      </c>
      <c r="T134">
        <v>4</v>
      </c>
      <c r="U134">
        <v>135</v>
      </c>
      <c r="V134">
        <v>2909.7000000000003</v>
      </c>
      <c r="W134">
        <v>7</v>
      </c>
      <c r="X134">
        <v>9699</v>
      </c>
      <c r="Y134">
        <f t="shared" si="10"/>
        <v>8044.7000000000007</v>
      </c>
      <c r="Z134">
        <f t="shared" si="11"/>
        <v>1654.2999999999993</v>
      </c>
      <c r="AA134">
        <f t="shared" si="12"/>
        <v>56</v>
      </c>
      <c r="AB134" t="str">
        <f t="shared" si="13"/>
        <v>3445</v>
      </c>
      <c r="AC134" t="str">
        <f t="shared" si="14"/>
        <v>3141415</v>
      </c>
    </row>
    <row r="135" spans="1:29" x14ac:dyDescent="0.3">
      <c r="A135">
        <f>_xlfn.XLOOKUP(E135,Date_Dim!B:B,Date_Dim!A:A)</f>
        <v>125</v>
      </c>
      <c r="B135">
        <v>2022</v>
      </c>
      <c r="C135">
        <v>85</v>
      </c>
      <c r="D135">
        <v>2</v>
      </c>
      <c r="E135" s="1">
        <v>44410</v>
      </c>
      <c r="F135">
        <v>27</v>
      </c>
      <c r="G135" s="1">
        <v>44440</v>
      </c>
      <c r="H135" s="1">
        <v>44468</v>
      </c>
      <c r="I135">
        <v>3</v>
      </c>
      <c r="J135">
        <v>1</v>
      </c>
      <c r="K135">
        <v>1689</v>
      </c>
      <c r="L135">
        <v>1</v>
      </c>
      <c r="M135">
        <v>4000</v>
      </c>
      <c r="N135">
        <v>15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0</v>
      </c>
      <c r="V135">
        <v>2275.6</v>
      </c>
      <c r="W135">
        <v>1</v>
      </c>
      <c r="X135">
        <v>5689</v>
      </c>
      <c r="Y135">
        <f t="shared" si="10"/>
        <v>6275.6</v>
      </c>
      <c r="Z135">
        <f t="shared" si="11"/>
        <v>-586.60000000000036</v>
      </c>
      <c r="AA135">
        <f t="shared" si="12"/>
        <v>28</v>
      </c>
      <c r="AB135" t="str">
        <f t="shared" si="13"/>
        <v>11127</v>
      </c>
      <c r="AC135" t="str">
        <f t="shared" si="14"/>
        <v>11111127</v>
      </c>
    </row>
    <row r="136" spans="1:29" x14ac:dyDescent="0.3">
      <c r="A136">
        <f>_xlfn.XLOOKUP(E136,Date_Dim!B:B,Date_Dim!A:A)</f>
        <v>126</v>
      </c>
      <c r="B136">
        <v>2021</v>
      </c>
      <c r="C136">
        <v>86</v>
      </c>
      <c r="D136">
        <v>2</v>
      </c>
      <c r="E136" s="1">
        <v>44396</v>
      </c>
      <c r="F136">
        <v>28</v>
      </c>
      <c r="G136" s="1">
        <v>44426</v>
      </c>
      <c r="H136" s="1">
        <v>44454</v>
      </c>
      <c r="I136">
        <v>3</v>
      </c>
      <c r="J136">
        <v>3</v>
      </c>
      <c r="K136">
        <v>1689</v>
      </c>
      <c r="L136">
        <v>14</v>
      </c>
      <c r="M136">
        <v>2200</v>
      </c>
      <c r="N136">
        <v>10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2</v>
      </c>
      <c r="U136">
        <v>175</v>
      </c>
      <c r="V136">
        <v>1166.7000000000003</v>
      </c>
      <c r="W136">
        <v>2</v>
      </c>
      <c r="X136">
        <v>3889</v>
      </c>
      <c r="Y136">
        <f t="shared" si="10"/>
        <v>3541.7000000000003</v>
      </c>
      <c r="Z136">
        <f t="shared" si="11"/>
        <v>347.29999999999973</v>
      </c>
      <c r="AA136">
        <f t="shared" si="12"/>
        <v>28</v>
      </c>
      <c r="AB136" t="str">
        <f t="shared" si="13"/>
        <v>13228</v>
      </c>
      <c r="AC136" t="str">
        <f t="shared" si="14"/>
        <v>11312128</v>
      </c>
    </row>
    <row r="137" spans="1:29" x14ac:dyDescent="0.3">
      <c r="A137">
        <f>_xlfn.XLOOKUP(E137,Date_Dim!B:B,Date_Dim!A:A)</f>
        <v>127</v>
      </c>
      <c r="B137">
        <v>2024</v>
      </c>
      <c r="C137">
        <v>86</v>
      </c>
      <c r="D137">
        <v>2</v>
      </c>
      <c r="E137" s="1">
        <v>44262</v>
      </c>
      <c r="F137">
        <v>29</v>
      </c>
      <c r="G137" s="1">
        <v>44292</v>
      </c>
      <c r="H137" s="1">
        <v>44320</v>
      </c>
      <c r="I137">
        <v>3</v>
      </c>
      <c r="J137">
        <v>4</v>
      </c>
      <c r="K137">
        <v>1689</v>
      </c>
      <c r="L137">
        <v>15</v>
      </c>
      <c r="M137">
        <v>3500</v>
      </c>
      <c r="N137">
        <v>3</v>
      </c>
      <c r="O137">
        <v>1</v>
      </c>
      <c r="P137">
        <v>4</v>
      </c>
      <c r="Q137">
        <v>4</v>
      </c>
      <c r="R137">
        <v>4</v>
      </c>
      <c r="S137">
        <v>0</v>
      </c>
      <c r="T137">
        <v>5</v>
      </c>
      <c r="U137">
        <v>155</v>
      </c>
      <c r="V137">
        <v>2075.6</v>
      </c>
      <c r="W137">
        <v>6</v>
      </c>
      <c r="X137">
        <v>5189</v>
      </c>
      <c r="Y137">
        <f t="shared" si="10"/>
        <v>5730.6</v>
      </c>
      <c r="Z137">
        <f t="shared" si="11"/>
        <v>-541.60000000000036</v>
      </c>
      <c r="AA137">
        <f t="shared" si="12"/>
        <v>28</v>
      </c>
      <c r="AB137" t="str">
        <f t="shared" si="13"/>
        <v>44529</v>
      </c>
      <c r="AC137" t="str">
        <f t="shared" si="14"/>
        <v>41415129</v>
      </c>
    </row>
    <row r="138" spans="1:29" x14ac:dyDescent="0.3">
      <c r="A138">
        <f>_xlfn.XLOOKUP(E138,Date_Dim!B:B,Date_Dim!A:A)</f>
        <v>128</v>
      </c>
      <c r="B138">
        <v>2020</v>
      </c>
      <c r="C138">
        <v>87</v>
      </c>
      <c r="D138">
        <v>2</v>
      </c>
      <c r="E138" s="1">
        <v>44709</v>
      </c>
      <c r="F138">
        <v>2</v>
      </c>
      <c r="G138" s="1">
        <v>44739</v>
      </c>
      <c r="H138" s="1">
        <v>44781</v>
      </c>
      <c r="I138">
        <v>4</v>
      </c>
      <c r="J138">
        <v>2</v>
      </c>
      <c r="K138">
        <v>1999</v>
      </c>
      <c r="L138">
        <v>2</v>
      </c>
      <c r="M138">
        <v>4000</v>
      </c>
      <c r="N138">
        <v>14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2</v>
      </c>
      <c r="U138">
        <v>175</v>
      </c>
      <c r="V138">
        <v>2399.6</v>
      </c>
      <c r="W138">
        <v>2</v>
      </c>
      <c r="X138">
        <v>5999</v>
      </c>
      <c r="Y138">
        <f t="shared" si="10"/>
        <v>6574.6</v>
      </c>
      <c r="Z138">
        <f t="shared" si="11"/>
        <v>-575.60000000000036</v>
      </c>
      <c r="AA138">
        <f t="shared" si="12"/>
        <v>42</v>
      </c>
      <c r="AB138" t="str">
        <f t="shared" si="13"/>
        <v>1222</v>
      </c>
      <c r="AC138" t="str">
        <f t="shared" si="14"/>
        <v>1121212</v>
      </c>
    </row>
    <row r="139" spans="1:29" x14ac:dyDescent="0.3">
      <c r="A139">
        <f>_xlfn.XLOOKUP(E139,Date_Dim!B:B,Date_Dim!A:A)</f>
        <v>129</v>
      </c>
      <c r="B139">
        <v>2023</v>
      </c>
      <c r="C139">
        <v>87</v>
      </c>
      <c r="D139">
        <v>2</v>
      </c>
      <c r="E139" s="1">
        <v>45202</v>
      </c>
      <c r="F139">
        <v>3</v>
      </c>
      <c r="G139" s="1">
        <v>45232</v>
      </c>
      <c r="H139" s="1">
        <v>45260</v>
      </c>
      <c r="I139">
        <v>3</v>
      </c>
      <c r="J139">
        <v>3</v>
      </c>
      <c r="K139">
        <v>1689</v>
      </c>
      <c r="L139">
        <v>3</v>
      </c>
      <c r="M139">
        <v>2000</v>
      </c>
      <c r="N139">
        <v>12</v>
      </c>
      <c r="O139">
        <v>1</v>
      </c>
      <c r="P139">
        <v>1</v>
      </c>
      <c r="Q139">
        <v>1</v>
      </c>
      <c r="R139">
        <v>1</v>
      </c>
      <c r="S139">
        <v>0</v>
      </c>
      <c r="T139">
        <v>2</v>
      </c>
      <c r="U139">
        <v>175</v>
      </c>
      <c r="V139">
        <v>1475.6000000000001</v>
      </c>
      <c r="W139">
        <v>2</v>
      </c>
      <c r="X139">
        <v>3689</v>
      </c>
      <c r="Y139">
        <f t="shared" si="10"/>
        <v>3650.6000000000004</v>
      </c>
      <c r="Z139">
        <f t="shared" si="11"/>
        <v>38.399999999999636</v>
      </c>
      <c r="AA139">
        <f t="shared" si="12"/>
        <v>28</v>
      </c>
      <c r="AB139" t="str">
        <f t="shared" si="13"/>
        <v>1323</v>
      </c>
      <c r="AC139" t="str">
        <f t="shared" si="14"/>
        <v>1131213</v>
      </c>
    </row>
    <row r="140" spans="1:29" x14ac:dyDescent="0.3">
      <c r="A140">
        <f>_xlfn.XLOOKUP(E140,Date_Dim!B:B,Date_Dim!A:A)</f>
        <v>130</v>
      </c>
      <c r="B140">
        <v>2022</v>
      </c>
      <c r="C140">
        <v>88</v>
      </c>
      <c r="D140">
        <v>2</v>
      </c>
      <c r="E140" s="1">
        <v>45090</v>
      </c>
      <c r="F140">
        <v>5</v>
      </c>
      <c r="G140" s="1">
        <v>45120</v>
      </c>
      <c r="H140" s="1">
        <v>45176</v>
      </c>
      <c r="I140">
        <v>5</v>
      </c>
      <c r="J140">
        <v>4</v>
      </c>
      <c r="K140">
        <v>2699</v>
      </c>
      <c r="L140">
        <v>5</v>
      </c>
      <c r="M140">
        <v>5000</v>
      </c>
      <c r="N140">
        <v>8</v>
      </c>
      <c r="O140">
        <v>1</v>
      </c>
      <c r="P140">
        <v>5</v>
      </c>
      <c r="Q140">
        <v>5</v>
      </c>
      <c r="R140">
        <v>5</v>
      </c>
      <c r="S140">
        <v>8000</v>
      </c>
      <c r="T140">
        <v>3</v>
      </c>
      <c r="U140">
        <v>125</v>
      </c>
      <c r="V140">
        <v>6279.6</v>
      </c>
      <c r="W140">
        <v>4</v>
      </c>
      <c r="X140">
        <v>15699</v>
      </c>
      <c r="Y140">
        <f t="shared" si="10"/>
        <v>11404.6</v>
      </c>
      <c r="Z140">
        <f t="shared" si="11"/>
        <v>4294.3999999999996</v>
      </c>
      <c r="AA140">
        <f t="shared" si="12"/>
        <v>56</v>
      </c>
      <c r="AB140" t="str">
        <f t="shared" si="13"/>
        <v>5435</v>
      </c>
      <c r="AC140" t="str">
        <f t="shared" si="14"/>
        <v>5141315</v>
      </c>
    </row>
    <row r="141" spans="1:29" x14ac:dyDescent="0.3">
      <c r="A141">
        <f>_xlfn.XLOOKUP(E141,Date_Dim!B:B,Date_Dim!A:A)</f>
        <v>131</v>
      </c>
      <c r="B141">
        <v>2023</v>
      </c>
      <c r="C141">
        <v>89</v>
      </c>
      <c r="D141">
        <v>2</v>
      </c>
      <c r="E141" s="1">
        <v>43895</v>
      </c>
      <c r="F141">
        <v>15</v>
      </c>
      <c r="G141" s="1">
        <v>43925</v>
      </c>
      <c r="H141" s="1">
        <v>43953</v>
      </c>
      <c r="I141">
        <v>3</v>
      </c>
      <c r="J141">
        <v>2</v>
      </c>
      <c r="K141">
        <v>1689</v>
      </c>
      <c r="L141">
        <v>10</v>
      </c>
      <c r="M141">
        <v>2500</v>
      </c>
      <c r="N141">
        <v>6</v>
      </c>
      <c r="O141">
        <v>1</v>
      </c>
      <c r="P141">
        <v>2</v>
      </c>
      <c r="Q141">
        <v>2</v>
      </c>
      <c r="R141">
        <v>2</v>
      </c>
      <c r="S141">
        <v>6000</v>
      </c>
      <c r="T141">
        <v>2</v>
      </c>
      <c r="U141">
        <v>175</v>
      </c>
      <c r="V141">
        <v>4075.6000000000004</v>
      </c>
      <c r="W141">
        <v>3</v>
      </c>
      <c r="X141">
        <v>10189</v>
      </c>
      <c r="Y141">
        <f t="shared" si="10"/>
        <v>6750.6</v>
      </c>
      <c r="Z141">
        <f t="shared" si="11"/>
        <v>3438.3999999999996</v>
      </c>
      <c r="AA141">
        <f t="shared" si="12"/>
        <v>28</v>
      </c>
      <c r="AB141" t="str">
        <f t="shared" si="13"/>
        <v>22215</v>
      </c>
      <c r="AC141" t="str">
        <f t="shared" si="14"/>
        <v>21212115</v>
      </c>
    </row>
    <row r="142" spans="1:29" x14ac:dyDescent="0.3">
      <c r="A142">
        <f>_xlfn.XLOOKUP(E142,Date_Dim!B:B,Date_Dim!A:A)</f>
        <v>132</v>
      </c>
      <c r="B142">
        <v>2020</v>
      </c>
      <c r="C142">
        <v>89</v>
      </c>
      <c r="D142">
        <v>2</v>
      </c>
      <c r="E142" s="1">
        <v>44038</v>
      </c>
      <c r="F142">
        <v>25</v>
      </c>
      <c r="G142" s="1">
        <v>44068</v>
      </c>
      <c r="H142" s="1">
        <v>44089</v>
      </c>
      <c r="I142">
        <v>2</v>
      </c>
      <c r="J142">
        <v>6</v>
      </c>
      <c r="K142">
        <v>1559</v>
      </c>
      <c r="L142">
        <v>13</v>
      </c>
      <c r="M142">
        <v>5000</v>
      </c>
      <c r="N142">
        <v>20</v>
      </c>
      <c r="O142">
        <v>1</v>
      </c>
      <c r="P142">
        <v>2</v>
      </c>
      <c r="Q142">
        <v>2</v>
      </c>
      <c r="R142">
        <v>2</v>
      </c>
      <c r="S142">
        <v>6000</v>
      </c>
      <c r="T142">
        <v>7</v>
      </c>
      <c r="U142">
        <v>25</v>
      </c>
      <c r="V142">
        <v>3767.7000000000007</v>
      </c>
      <c r="W142">
        <v>3</v>
      </c>
      <c r="X142">
        <v>12559</v>
      </c>
      <c r="Y142">
        <f t="shared" si="10"/>
        <v>8792.7000000000007</v>
      </c>
      <c r="Z142">
        <f t="shared" si="11"/>
        <v>3766.2999999999993</v>
      </c>
      <c r="AA142">
        <f t="shared" si="12"/>
        <v>21</v>
      </c>
      <c r="AB142" t="str">
        <f t="shared" si="13"/>
        <v>26725</v>
      </c>
      <c r="AC142" t="str">
        <f t="shared" si="14"/>
        <v>21617125</v>
      </c>
    </row>
    <row r="143" spans="1:29" x14ac:dyDescent="0.3">
      <c r="A143">
        <f>_xlfn.XLOOKUP(E143,Date_Dim!B:B,Date_Dim!A:A)</f>
        <v>133</v>
      </c>
      <c r="B143">
        <v>2021</v>
      </c>
      <c r="C143">
        <v>90</v>
      </c>
      <c r="D143">
        <v>2</v>
      </c>
      <c r="E143" s="1">
        <v>45555</v>
      </c>
      <c r="F143">
        <v>30</v>
      </c>
      <c r="G143" s="1">
        <v>45585</v>
      </c>
      <c r="H143" s="1">
        <v>45606</v>
      </c>
      <c r="I143">
        <v>2</v>
      </c>
      <c r="J143">
        <v>3</v>
      </c>
      <c r="K143">
        <v>1559</v>
      </c>
      <c r="L143">
        <v>7</v>
      </c>
      <c r="M143">
        <v>1200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2</v>
      </c>
      <c r="U143">
        <v>175</v>
      </c>
      <c r="V143">
        <v>1103.6000000000001</v>
      </c>
      <c r="W143">
        <v>2</v>
      </c>
      <c r="X143">
        <v>2759</v>
      </c>
      <c r="Y143">
        <f t="shared" si="10"/>
        <v>2478.6000000000004</v>
      </c>
      <c r="Z143">
        <f t="shared" si="11"/>
        <v>280.39999999999964</v>
      </c>
      <c r="AA143">
        <f t="shared" si="12"/>
        <v>21</v>
      </c>
      <c r="AB143" t="str">
        <f t="shared" si="13"/>
        <v>13230</v>
      </c>
      <c r="AC143" t="str">
        <f t="shared" si="14"/>
        <v>11312130</v>
      </c>
    </row>
    <row r="144" spans="1:29" x14ac:dyDescent="0.3">
      <c r="A144">
        <f>_xlfn.XLOOKUP(E144,Date_Dim!B:B,Date_Dim!A:A)</f>
        <v>134</v>
      </c>
      <c r="B144">
        <v>2024</v>
      </c>
      <c r="C144">
        <v>90</v>
      </c>
      <c r="D144">
        <v>2</v>
      </c>
      <c r="E144" s="1">
        <v>43863</v>
      </c>
      <c r="F144">
        <v>8</v>
      </c>
      <c r="G144" s="1">
        <v>43893</v>
      </c>
      <c r="H144" s="1">
        <v>43907</v>
      </c>
      <c r="I144">
        <v>1</v>
      </c>
      <c r="J144">
        <v>4</v>
      </c>
      <c r="K144">
        <v>1459</v>
      </c>
      <c r="L144">
        <v>8</v>
      </c>
      <c r="M144">
        <v>1800</v>
      </c>
      <c r="N144">
        <v>2</v>
      </c>
      <c r="O144">
        <v>1</v>
      </c>
      <c r="P144">
        <v>4</v>
      </c>
      <c r="Q144">
        <v>4</v>
      </c>
      <c r="R144">
        <v>4</v>
      </c>
      <c r="S144">
        <v>0</v>
      </c>
      <c r="T144">
        <v>5</v>
      </c>
      <c r="U144">
        <v>155</v>
      </c>
      <c r="V144">
        <v>977.70000000000016</v>
      </c>
      <c r="W144">
        <v>6</v>
      </c>
      <c r="X144">
        <v>3259</v>
      </c>
      <c r="Y144">
        <f t="shared" si="10"/>
        <v>2932.7000000000003</v>
      </c>
      <c r="Z144">
        <f t="shared" si="11"/>
        <v>326.29999999999973</v>
      </c>
      <c r="AA144">
        <f t="shared" si="12"/>
        <v>14</v>
      </c>
      <c r="AB144" t="str">
        <f t="shared" si="13"/>
        <v>4458</v>
      </c>
      <c r="AC144" t="str">
        <f t="shared" si="14"/>
        <v>4141518</v>
      </c>
    </row>
    <row r="145" spans="1:29" x14ac:dyDescent="0.3">
      <c r="A145">
        <f>_xlfn.XLOOKUP(E145,Date_Dim!B:B,Date_Dim!A:A)</f>
        <v>135</v>
      </c>
      <c r="B145">
        <v>2022</v>
      </c>
      <c r="C145">
        <v>91</v>
      </c>
      <c r="D145">
        <v>2</v>
      </c>
      <c r="E145" s="1">
        <v>44974</v>
      </c>
      <c r="F145">
        <v>5</v>
      </c>
      <c r="G145" s="1">
        <v>45004</v>
      </c>
      <c r="H145" s="1">
        <v>45060</v>
      </c>
      <c r="I145">
        <v>5</v>
      </c>
      <c r="J145">
        <v>4</v>
      </c>
      <c r="K145">
        <v>2699</v>
      </c>
      <c r="L145">
        <v>5</v>
      </c>
      <c r="M145">
        <v>5000</v>
      </c>
      <c r="N145">
        <v>8</v>
      </c>
      <c r="O145">
        <v>1</v>
      </c>
      <c r="P145">
        <v>5</v>
      </c>
      <c r="Q145">
        <v>5</v>
      </c>
      <c r="R145">
        <v>5</v>
      </c>
      <c r="S145">
        <v>8000</v>
      </c>
      <c r="T145">
        <v>3</v>
      </c>
      <c r="U145">
        <v>125</v>
      </c>
      <c r="V145">
        <v>6279.6</v>
      </c>
      <c r="W145">
        <v>4</v>
      </c>
      <c r="X145">
        <v>15699</v>
      </c>
      <c r="Y145">
        <f t="shared" si="10"/>
        <v>11404.6</v>
      </c>
      <c r="Z145">
        <f t="shared" si="11"/>
        <v>4294.3999999999996</v>
      </c>
      <c r="AA145">
        <f t="shared" si="12"/>
        <v>56</v>
      </c>
      <c r="AB145" t="str">
        <f t="shared" si="13"/>
        <v>5435</v>
      </c>
      <c r="AC145" t="str">
        <f t="shared" si="14"/>
        <v>5141315</v>
      </c>
    </row>
    <row r="146" spans="1:29" x14ac:dyDescent="0.3">
      <c r="A146">
        <f>_xlfn.XLOOKUP(E146,Date_Dim!B:B,Date_Dim!A:A)</f>
        <v>112</v>
      </c>
      <c r="B146">
        <v>2022</v>
      </c>
      <c r="C146">
        <v>92</v>
      </c>
      <c r="D146">
        <v>2</v>
      </c>
      <c r="E146" s="1">
        <v>43840</v>
      </c>
      <c r="F146">
        <v>13</v>
      </c>
      <c r="G146" s="1">
        <v>43870</v>
      </c>
      <c r="H146" s="1">
        <v>43891</v>
      </c>
      <c r="I146">
        <v>2</v>
      </c>
      <c r="J146">
        <v>6</v>
      </c>
      <c r="K146">
        <v>1559</v>
      </c>
      <c r="L146">
        <v>11</v>
      </c>
      <c r="M146">
        <v>2500</v>
      </c>
      <c r="N146">
        <v>7</v>
      </c>
      <c r="O146">
        <v>1</v>
      </c>
      <c r="P146">
        <v>2</v>
      </c>
      <c r="Q146">
        <v>2</v>
      </c>
      <c r="R146">
        <v>2</v>
      </c>
      <c r="S146">
        <v>6000</v>
      </c>
      <c r="T146">
        <v>7</v>
      </c>
      <c r="U146">
        <v>25</v>
      </c>
      <c r="V146">
        <v>4023.6000000000004</v>
      </c>
      <c r="W146">
        <v>3</v>
      </c>
      <c r="X146">
        <v>10059</v>
      </c>
      <c r="Y146">
        <f t="shared" si="10"/>
        <v>6548.6</v>
      </c>
      <c r="Z146">
        <f t="shared" si="11"/>
        <v>3510.3999999999996</v>
      </c>
      <c r="AA146">
        <f t="shared" si="12"/>
        <v>21</v>
      </c>
      <c r="AB146" t="str">
        <f t="shared" si="13"/>
        <v>26713</v>
      </c>
      <c r="AC146" t="str">
        <f t="shared" si="14"/>
        <v>21617113</v>
      </c>
    </row>
    <row r="147" spans="1:29" x14ac:dyDescent="0.3">
      <c r="A147">
        <f>_xlfn.XLOOKUP(E147,Date_Dim!B:B,Date_Dim!A:A)</f>
        <v>136</v>
      </c>
      <c r="B147">
        <v>2024</v>
      </c>
      <c r="C147">
        <v>92</v>
      </c>
      <c r="D147">
        <v>2</v>
      </c>
      <c r="E147" s="1">
        <v>45165</v>
      </c>
      <c r="F147">
        <v>6</v>
      </c>
      <c r="G147" s="1">
        <v>45195</v>
      </c>
      <c r="H147" s="1">
        <v>45237</v>
      </c>
      <c r="I147">
        <v>4</v>
      </c>
      <c r="J147">
        <v>4</v>
      </c>
      <c r="K147">
        <v>1999</v>
      </c>
      <c r="L147">
        <v>6</v>
      </c>
      <c r="M147">
        <v>3000</v>
      </c>
      <c r="N147">
        <v>9</v>
      </c>
      <c r="O147">
        <v>1</v>
      </c>
      <c r="P147">
        <v>3</v>
      </c>
      <c r="Q147">
        <v>3</v>
      </c>
      <c r="R147">
        <v>3</v>
      </c>
      <c r="S147">
        <v>2000</v>
      </c>
      <c r="T147">
        <v>4</v>
      </c>
      <c r="U147">
        <v>135</v>
      </c>
      <c r="V147">
        <v>2799.6000000000004</v>
      </c>
      <c r="W147">
        <v>7</v>
      </c>
      <c r="X147">
        <v>6999</v>
      </c>
      <c r="Y147">
        <f t="shared" si="10"/>
        <v>5934.6</v>
      </c>
      <c r="Z147">
        <f t="shared" si="11"/>
        <v>1064.3999999999996</v>
      </c>
      <c r="AA147">
        <f t="shared" si="12"/>
        <v>42</v>
      </c>
      <c r="AB147" t="str">
        <f t="shared" si="13"/>
        <v>3446</v>
      </c>
      <c r="AC147" t="str">
        <f t="shared" si="14"/>
        <v>3141416</v>
      </c>
    </row>
    <row r="148" spans="1:29" x14ac:dyDescent="0.3">
      <c r="A148">
        <f>_xlfn.XLOOKUP(E148,Date_Dim!B:B,Date_Dim!A:A)</f>
        <v>137</v>
      </c>
      <c r="B148">
        <v>2023</v>
      </c>
      <c r="C148">
        <v>93</v>
      </c>
      <c r="D148">
        <v>2</v>
      </c>
      <c r="E148" s="1">
        <v>45269</v>
      </c>
      <c r="F148">
        <v>6</v>
      </c>
      <c r="G148" s="1">
        <v>45299</v>
      </c>
      <c r="H148" s="1">
        <v>45341</v>
      </c>
      <c r="I148">
        <v>4</v>
      </c>
      <c r="J148">
        <v>4</v>
      </c>
      <c r="K148">
        <v>1999</v>
      </c>
      <c r="L148">
        <v>6</v>
      </c>
      <c r="M148">
        <v>3000</v>
      </c>
      <c r="N148">
        <v>9</v>
      </c>
      <c r="O148">
        <v>1</v>
      </c>
      <c r="P148">
        <v>3</v>
      </c>
      <c r="Q148">
        <v>3</v>
      </c>
      <c r="R148">
        <v>3</v>
      </c>
      <c r="S148">
        <v>2000</v>
      </c>
      <c r="T148">
        <v>4</v>
      </c>
      <c r="U148">
        <v>135</v>
      </c>
      <c r="V148">
        <v>2799.6000000000004</v>
      </c>
      <c r="W148">
        <v>7</v>
      </c>
      <c r="X148">
        <v>6999</v>
      </c>
      <c r="Y148">
        <f t="shared" si="10"/>
        <v>5934.6</v>
      </c>
      <c r="Z148">
        <f t="shared" si="11"/>
        <v>1064.3999999999996</v>
      </c>
      <c r="AA148">
        <f t="shared" si="12"/>
        <v>42</v>
      </c>
      <c r="AB148" t="str">
        <f t="shared" si="13"/>
        <v>3446</v>
      </c>
      <c r="AC148" t="str">
        <f t="shared" si="14"/>
        <v>3141416</v>
      </c>
    </row>
    <row r="149" spans="1:29" x14ac:dyDescent="0.3">
      <c r="A149">
        <f>_xlfn.XLOOKUP(E149,Date_Dim!B:B,Date_Dim!A:A)</f>
        <v>138</v>
      </c>
      <c r="B149">
        <v>2023</v>
      </c>
      <c r="C149">
        <v>94</v>
      </c>
      <c r="D149">
        <v>2</v>
      </c>
      <c r="E149" s="1">
        <v>44219</v>
      </c>
      <c r="F149">
        <v>31</v>
      </c>
      <c r="G149" s="1">
        <v>44249</v>
      </c>
      <c r="H149" s="1">
        <v>44277</v>
      </c>
      <c r="I149">
        <v>3</v>
      </c>
      <c r="J149">
        <v>1</v>
      </c>
      <c r="K149">
        <v>1689</v>
      </c>
      <c r="L149">
        <v>1</v>
      </c>
      <c r="M149">
        <v>3800</v>
      </c>
      <c r="N149">
        <v>15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0</v>
      </c>
      <c r="V149">
        <v>1646.7000000000003</v>
      </c>
      <c r="W149">
        <v>1</v>
      </c>
      <c r="X149">
        <v>5489</v>
      </c>
      <c r="Y149">
        <f t="shared" si="10"/>
        <v>5446.7000000000007</v>
      </c>
      <c r="Z149">
        <f t="shared" si="11"/>
        <v>42.299999999999272</v>
      </c>
      <c r="AA149">
        <f t="shared" si="12"/>
        <v>28</v>
      </c>
      <c r="AB149" t="str">
        <f t="shared" si="13"/>
        <v>11131</v>
      </c>
      <c r="AC149" t="str">
        <f t="shared" si="14"/>
        <v>11111131</v>
      </c>
    </row>
    <row r="150" spans="1:29" x14ac:dyDescent="0.3">
      <c r="A150">
        <f>_xlfn.XLOOKUP(E150,Date_Dim!B:B,Date_Dim!A:A)</f>
        <v>139</v>
      </c>
      <c r="B150">
        <v>2020</v>
      </c>
      <c r="C150">
        <v>94</v>
      </c>
      <c r="D150">
        <v>2</v>
      </c>
      <c r="E150" s="1">
        <v>44684</v>
      </c>
      <c r="F150">
        <v>24</v>
      </c>
      <c r="G150" s="1">
        <v>44714</v>
      </c>
      <c r="H150" s="1">
        <v>44756</v>
      </c>
      <c r="I150">
        <v>4</v>
      </c>
      <c r="J150">
        <v>3</v>
      </c>
      <c r="K150">
        <v>1999</v>
      </c>
      <c r="L150">
        <v>3</v>
      </c>
      <c r="M150">
        <v>3000</v>
      </c>
      <c r="N150">
        <v>12</v>
      </c>
      <c r="O150">
        <v>1</v>
      </c>
      <c r="P150">
        <v>1</v>
      </c>
      <c r="Q150">
        <v>1</v>
      </c>
      <c r="R150">
        <v>1</v>
      </c>
      <c r="S150">
        <v>0</v>
      </c>
      <c r="T150">
        <v>2</v>
      </c>
      <c r="U150">
        <v>175</v>
      </c>
      <c r="V150">
        <v>1499.7000000000003</v>
      </c>
      <c r="W150">
        <v>1</v>
      </c>
      <c r="X150">
        <v>4999</v>
      </c>
      <c r="Y150">
        <f t="shared" si="10"/>
        <v>4674.7000000000007</v>
      </c>
      <c r="Z150">
        <f t="shared" si="11"/>
        <v>324.29999999999927</v>
      </c>
      <c r="AA150">
        <f t="shared" si="12"/>
        <v>42</v>
      </c>
      <c r="AB150" t="str">
        <f t="shared" si="13"/>
        <v>13224</v>
      </c>
      <c r="AC150" t="str">
        <f t="shared" si="14"/>
        <v>11312124</v>
      </c>
    </row>
    <row r="151" spans="1:29" x14ac:dyDescent="0.3">
      <c r="A151">
        <f>_xlfn.XLOOKUP(E151,Date_Dim!B:B,Date_Dim!A:A)</f>
        <v>140</v>
      </c>
      <c r="B151">
        <v>2023</v>
      </c>
      <c r="C151">
        <v>95</v>
      </c>
      <c r="D151">
        <v>2</v>
      </c>
      <c r="E151" s="1">
        <v>44364</v>
      </c>
      <c r="F151">
        <v>12</v>
      </c>
      <c r="G151" s="1">
        <v>44394</v>
      </c>
      <c r="H151" s="1">
        <v>44415</v>
      </c>
      <c r="I151">
        <v>2</v>
      </c>
      <c r="J151">
        <v>5</v>
      </c>
      <c r="K151">
        <v>1559</v>
      </c>
      <c r="L151">
        <v>9</v>
      </c>
      <c r="M151">
        <v>2000</v>
      </c>
      <c r="N151">
        <v>4</v>
      </c>
      <c r="O151">
        <v>1</v>
      </c>
      <c r="P151">
        <v>4</v>
      </c>
      <c r="Q151">
        <v>4</v>
      </c>
      <c r="R151">
        <v>4</v>
      </c>
      <c r="S151">
        <v>0</v>
      </c>
      <c r="T151">
        <v>5</v>
      </c>
      <c r="U151">
        <v>155</v>
      </c>
      <c r="V151">
        <v>1423.6000000000001</v>
      </c>
      <c r="W151">
        <v>8</v>
      </c>
      <c r="X151">
        <v>3559</v>
      </c>
      <c r="Y151">
        <f t="shared" si="10"/>
        <v>3578.6000000000004</v>
      </c>
      <c r="Z151">
        <f t="shared" si="11"/>
        <v>-19.600000000000364</v>
      </c>
      <c r="AA151">
        <f t="shared" si="12"/>
        <v>21</v>
      </c>
      <c r="AB151" t="str">
        <f t="shared" si="13"/>
        <v>45512</v>
      </c>
      <c r="AC151" t="str">
        <f t="shared" si="14"/>
        <v>41515112</v>
      </c>
    </row>
    <row r="152" spans="1:29" x14ac:dyDescent="0.3">
      <c r="A152">
        <f>_xlfn.XLOOKUP(E152,Date_Dim!B:B,Date_Dim!A:A)</f>
        <v>99</v>
      </c>
      <c r="B152">
        <v>2021</v>
      </c>
      <c r="C152">
        <v>96</v>
      </c>
      <c r="D152">
        <v>2</v>
      </c>
      <c r="E152" s="1">
        <v>45234</v>
      </c>
      <c r="F152">
        <v>8</v>
      </c>
      <c r="G152" s="1">
        <v>45264</v>
      </c>
      <c r="H152" s="1">
        <v>45278</v>
      </c>
      <c r="I152">
        <v>1</v>
      </c>
      <c r="J152">
        <v>4</v>
      </c>
      <c r="K152">
        <v>1459</v>
      </c>
      <c r="L152">
        <v>8</v>
      </c>
      <c r="M152">
        <v>1800</v>
      </c>
      <c r="N152">
        <v>2</v>
      </c>
      <c r="O152">
        <v>1</v>
      </c>
      <c r="P152">
        <v>4</v>
      </c>
      <c r="Q152">
        <v>4</v>
      </c>
      <c r="R152">
        <v>4</v>
      </c>
      <c r="S152">
        <v>0</v>
      </c>
      <c r="T152">
        <v>5</v>
      </c>
      <c r="U152">
        <v>155</v>
      </c>
      <c r="V152">
        <v>977.70000000000016</v>
      </c>
      <c r="W152">
        <v>8</v>
      </c>
      <c r="X152">
        <v>3259</v>
      </c>
      <c r="Y152">
        <f t="shared" si="10"/>
        <v>2932.7000000000003</v>
      </c>
      <c r="Z152">
        <f t="shared" si="11"/>
        <v>326.29999999999973</v>
      </c>
      <c r="AA152">
        <f t="shared" si="12"/>
        <v>14</v>
      </c>
      <c r="AB152" t="str">
        <f t="shared" si="13"/>
        <v>4458</v>
      </c>
      <c r="AC152" t="str">
        <f t="shared" si="14"/>
        <v>4141518</v>
      </c>
    </row>
    <row r="153" spans="1:29" x14ac:dyDescent="0.3">
      <c r="A153">
        <f>_xlfn.XLOOKUP(E153,Date_Dim!B:B,Date_Dim!A:A)</f>
        <v>141</v>
      </c>
      <c r="B153">
        <v>2024</v>
      </c>
      <c r="C153">
        <v>96</v>
      </c>
      <c r="D153">
        <v>2</v>
      </c>
      <c r="E153" s="1">
        <v>45494</v>
      </c>
      <c r="F153">
        <v>6</v>
      </c>
      <c r="G153" s="1">
        <v>45524</v>
      </c>
      <c r="H153" s="1">
        <v>45566</v>
      </c>
      <c r="I153">
        <v>4</v>
      </c>
      <c r="J153">
        <v>4</v>
      </c>
      <c r="K153">
        <v>1999</v>
      </c>
      <c r="L153">
        <v>6</v>
      </c>
      <c r="M153">
        <v>3000</v>
      </c>
      <c r="N153">
        <v>9</v>
      </c>
      <c r="O153">
        <v>1</v>
      </c>
      <c r="P153">
        <v>4</v>
      </c>
      <c r="Q153">
        <v>4</v>
      </c>
      <c r="R153">
        <v>4</v>
      </c>
      <c r="S153">
        <v>0</v>
      </c>
      <c r="T153">
        <v>4</v>
      </c>
      <c r="U153">
        <v>135</v>
      </c>
      <c r="V153">
        <v>1999.6000000000001</v>
      </c>
      <c r="W153">
        <v>5</v>
      </c>
      <c r="X153">
        <v>4999</v>
      </c>
      <c r="Y153">
        <f t="shared" si="10"/>
        <v>5134.6000000000004</v>
      </c>
      <c r="Z153">
        <f t="shared" si="11"/>
        <v>-135.60000000000036</v>
      </c>
      <c r="AA153">
        <f t="shared" si="12"/>
        <v>42</v>
      </c>
      <c r="AB153" t="str">
        <f t="shared" si="13"/>
        <v>4446</v>
      </c>
      <c r="AC153" t="str">
        <f t="shared" si="14"/>
        <v>4141416</v>
      </c>
    </row>
    <row r="154" spans="1:29" x14ac:dyDescent="0.3">
      <c r="A154">
        <f>_xlfn.XLOOKUP(E154,Date_Dim!B:B,Date_Dim!A:A)</f>
        <v>142</v>
      </c>
      <c r="B154">
        <v>2020</v>
      </c>
      <c r="C154">
        <v>97</v>
      </c>
      <c r="D154">
        <v>2</v>
      </c>
      <c r="E154" s="1">
        <v>44719</v>
      </c>
      <c r="F154">
        <v>15</v>
      </c>
      <c r="G154" s="1">
        <v>44749</v>
      </c>
      <c r="H154" s="1">
        <v>44777</v>
      </c>
      <c r="I154">
        <v>3</v>
      </c>
      <c r="J154">
        <v>2</v>
      </c>
      <c r="K154">
        <v>1689</v>
      </c>
      <c r="L154">
        <v>10</v>
      </c>
      <c r="M154">
        <v>2500</v>
      </c>
      <c r="N154">
        <v>6</v>
      </c>
      <c r="O154">
        <v>1</v>
      </c>
      <c r="P154">
        <v>2</v>
      </c>
      <c r="Q154">
        <v>2</v>
      </c>
      <c r="R154">
        <v>2</v>
      </c>
      <c r="S154">
        <v>6000</v>
      </c>
      <c r="T154">
        <v>2</v>
      </c>
      <c r="U154">
        <v>175</v>
      </c>
      <c r="V154">
        <v>3056.7000000000003</v>
      </c>
      <c r="W154">
        <v>3</v>
      </c>
      <c r="X154">
        <v>10189</v>
      </c>
      <c r="Y154">
        <f t="shared" si="10"/>
        <v>5731.7000000000007</v>
      </c>
      <c r="Z154">
        <f t="shared" si="11"/>
        <v>4457.2999999999993</v>
      </c>
      <c r="AA154">
        <f t="shared" si="12"/>
        <v>28</v>
      </c>
      <c r="AB154" t="str">
        <f t="shared" si="13"/>
        <v>22215</v>
      </c>
      <c r="AC154" t="str">
        <f t="shared" si="14"/>
        <v>21212115</v>
      </c>
    </row>
    <row r="155" spans="1:29" x14ac:dyDescent="0.3">
      <c r="A155">
        <f>_xlfn.XLOOKUP(E155,Date_Dim!B:B,Date_Dim!A:A)</f>
        <v>143</v>
      </c>
      <c r="B155">
        <v>2023</v>
      </c>
      <c r="C155">
        <v>98</v>
      </c>
      <c r="D155">
        <v>2</v>
      </c>
      <c r="E155" s="1">
        <v>44215</v>
      </c>
      <c r="F155">
        <v>9</v>
      </c>
      <c r="G155" s="1">
        <v>44245</v>
      </c>
      <c r="H155" s="1">
        <v>44301</v>
      </c>
      <c r="I155">
        <v>5</v>
      </c>
      <c r="J155">
        <v>3</v>
      </c>
      <c r="K155">
        <v>2699</v>
      </c>
      <c r="L155">
        <v>3</v>
      </c>
      <c r="M155">
        <v>3500</v>
      </c>
      <c r="N155">
        <v>12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1859.7000000000003</v>
      </c>
      <c r="W155">
        <v>1</v>
      </c>
      <c r="X155">
        <v>6199</v>
      </c>
      <c r="Y155">
        <f t="shared" si="10"/>
        <v>5359.7000000000007</v>
      </c>
      <c r="Z155">
        <f t="shared" si="11"/>
        <v>839.29999999999927</v>
      </c>
      <c r="AA155">
        <f t="shared" si="12"/>
        <v>56</v>
      </c>
      <c r="AB155" t="str">
        <f t="shared" si="13"/>
        <v>1319</v>
      </c>
      <c r="AC155" t="str">
        <f t="shared" si="14"/>
        <v>1131119</v>
      </c>
    </row>
    <row r="156" spans="1:29" x14ac:dyDescent="0.3">
      <c r="A156">
        <f>_xlfn.XLOOKUP(E156,Date_Dim!B:B,Date_Dim!A:A)</f>
        <v>144</v>
      </c>
      <c r="B156">
        <v>2020</v>
      </c>
      <c r="C156">
        <v>98</v>
      </c>
      <c r="D156">
        <v>2</v>
      </c>
      <c r="E156" s="1">
        <v>44182</v>
      </c>
      <c r="F156">
        <v>24</v>
      </c>
      <c r="G156" s="1">
        <v>44212</v>
      </c>
      <c r="H156" s="1">
        <v>44254</v>
      </c>
      <c r="I156">
        <v>4</v>
      </c>
      <c r="J156">
        <v>3</v>
      </c>
      <c r="K156">
        <v>1999</v>
      </c>
      <c r="L156">
        <v>3</v>
      </c>
      <c r="M156">
        <v>3000</v>
      </c>
      <c r="N156">
        <v>12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2</v>
      </c>
      <c r="U156">
        <v>175</v>
      </c>
      <c r="V156">
        <v>1999.6000000000001</v>
      </c>
      <c r="W156">
        <v>2</v>
      </c>
      <c r="X156">
        <v>4999</v>
      </c>
      <c r="Y156">
        <f t="shared" si="10"/>
        <v>5174.6000000000004</v>
      </c>
      <c r="Z156">
        <f t="shared" si="11"/>
        <v>-175.60000000000036</v>
      </c>
      <c r="AA156">
        <f t="shared" si="12"/>
        <v>42</v>
      </c>
      <c r="AB156" t="str">
        <f t="shared" si="13"/>
        <v>13224</v>
      </c>
      <c r="AC156" t="str">
        <f t="shared" si="14"/>
        <v>11312124</v>
      </c>
    </row>
    <row r="157" spans="1:29" x14ac:dyDescent="0.3">
      <c r="A157">
        <f>_xlfn.XLOOKUP(E157,Date_Dim!B:B,Date_Dim!A:A)</f>
        <v>145</v>
      </c>
      <c r="B157">
        <v>2024</v>
      </c>
      <c r="C157">
        <v>99</v>
      </c>
      <c r="D157">
        <v>2</v>
      </c>
      <c r="E157" s="1">
        <v>44313</v>
      </c>
      <c r="F157">
        <v>32</v>
      </c>
      <c r="G157" s="1">
        <v>44343</v>
      </c>
      <c r="H157" s="1">
        <v>44364</v>
      </c>
      <c r="I157">
        <v>2</v>
      </c>
      <c r="J157">
        <v>4</v>
      </c>
      <c r="K157">
        <v>1559</v>
      </c>
      <c r="L157">
        <v>5</v>
      </c>
      <c r="M157">
        <v>2400</v>
      </c>
      <c r="N157">
        <v>8</v>
      </c>
      <c r="O157">
        <v>1</v>
      </c>
      <c r="P157">
        <v>4</v>
      </c>
      <c r="Q157">
        <v>4</v>
      </c>
      <c r="R157">
        <v>4</v>
      </c>
      <c r="S157">
        <v>0</v>
      </c>
      <c r="T157">
        <v>5</v>
      </c>
      <c r="U157">
        <v>155</v>
      </c>
      <c r="V157">
        <v>1583.6000000000001</v>
      </c>
      <c r="W157">
        <v>6</v>
      </c>
      <c r="X157">
        <v>3959</v>
      </c>
      <c r="Y157">
        <f t="shared" si="10"/>
        <v>4138.6000000000004</v>
      </c>
      <c r="Z157">
        <f t="shared" si="11"/>
        <v>-179.60000000000036</v>
      </c>
      <c r="AA157">
        <f t="shared" si="12"/>
        <v>21</v>
      </c>
      <c r="AB157" t="str">
        <f t="shared" si="13"/>
        <v>44532</v>
      </c>
      <c r="AC157" t="str">
        <f t="shared" si="14"/>
        <v>41415132</v>
      </c>
    </row>
    <row r="158" spans="1:29" x14ac:dyDescent="0.3">
      <c r="A158">
        <f>_xlfn.XLOOKUP(E158,Date_Dim!B:B,Date_Dim!A:A)</f>
        <v>146</v>
      </c>
      <c r="B158">
        <v>2022</v>
      </c>
      <c r="C158">
        <v>99</v>
      </c>
      <c r="D158">
        <v>2</v>
      </c>
      <c r="E158" s="1">
        <v>43864</v>
      </c>
      <c r="F158">
        <v>6</v>
      </c>
      <c r="G158" s="1">
        <v>43894</v>
      </c>
      <c r="H158" s="1">
        <v>43936</v>
      </c>
      <c r="I158">
        <v>4</v>
      </c>
      <c r="J158">
        <v>4</v>
      </c>
      <c r="K158">
        <v>1999</v>
      </c>
      <c r="L158">
        <v>6</v>
      </c>
      <c r="M158">
        <v>3000</v>
      </c>
      <c r="N158">
        <v>9</v>
      </c>
      <c r="O158">
        <v>1</v>
      </c>
      <c r="P158">
        <v>4</v>
      </c>
      <c r="Q158">
        <v>4</v>
      </c>
      <c r="R158">
        <v>4</v>
      </c>
      <c r="S158">
        <v>0</v>
      </c>
      <c r="T158">
        <v>5</v>
      </c>
      <c r="U158">
        <v>155</v>
      </c>
      <c r="V158">
        <v>1999.6000000000001</v>
      </c>
      <c r="W158">
        <v>5</v>
      </c>
      <c r="X158">
        <v>4999</v>
      </c>
      <c r="Y158">
        <f t="shared" si="10"/>
        <v>5154.6000000000004</v>
      </c>
      <c r="Z158">
        <f t="shared" si="11"/>
        <v>-155.60000000000036</v>
      </c>
      <c r="AA158">
        <f t="shared" si="12"/>
        <v>42</v>
      </c>
      <c r="AB158" t="str">
        <f t="shared" si="13"/>
        <v>4456</v>
      </c>
      <c r="AC158" t="str">
        <f t="shared" si="14"/>
        <v>4141516</v>
      </c>
    </row>
    <row r="159" spans="1:29" x14ac:dyDescent="0.3">
      <c r="A159">
        <f>_xlfn.XLOOKUP(E159,Date_Dim!B:B,Date_Dim!A:A)</f>
        <v>147</v>
      </c>
      <c r="B159">
        <v>2024</v>
      </c>
      <c r="C159">
        <v>100</v>
      </c>
      <c r="D159">
        <v>2</v>
      </c>
      <c r="E159" s="1">
        <v>44464</v>
      </c>
      <c r="F159">
        <v>28</v>
      </c>
      <c r="G159" s="1">
        <v>44494</v>
      </c>
      <c r="H159" s="1">
        <v>44522</v>
      </c>
      <c r="I159">
        <v>3</v>
      </c>
      <c r="J159">
        <v>3</v>
      </c>
      <c r="K159">
        <v>1689</v>
      </c>
      <c r="L159">
        <v>14</v>
      </c>
      <c r="M159">
        <v>2200</v>
      </c>
      <c r="N159">
        <v>10</v>
      </c>
      <c r="O159">
        <v>1</v>
      </c>
      <c r="P159">
        <v>1</v>
      </c>
      <c r="Q159">
        <v>1</v>
      </c>
      <c r="R159">
        <v>1</v>
      </c>
      <c r="S159">
        <v>0</v>
      </c>
      <c r="T159">
        <v>2</v>
      </c>
      <c r="U159">
        <v>175</v>
      </c>
      <c r="V159">
        <v>1555.6000000000001</v>
      </c>
      <c r="W159">
        <v>2</v>
      </c>
      <c r="X159">
        <v>3889</v>
      </c>
      <c r="Y159">
        <f t="shared" si="10"/>
        <v>3930.6000000000004</v>
      </c>
      <c r="Z159">
        <f t="shared" si="11"/>
        <v>-41.600000000000364</v>
      </c>
      <c r="AA159">
        <f t="shared" si="12"/>
        <v>28</v>
      </c>
      <c r="AB159" t="str">
        <f t="shared" si="13"/>
        <v>13228</v>
      </c>
      <c r="AC159" t="str">
        <f t="shared" si="14"/>
        <v>11312128</v>
      </c>
    </row>
    <row r="160" spans="1:29" x14ac:dyDescent="0.3">
      <c r="A160">
        <f>_xlfn.XLOOKUP(E160,Date_Dim!B:B,Date_Dim!A:A)</f>
        <v>148</v>
      </c>
      <c r="B160">
        <v>2021</v>
      </c>
      <c r="C160">
        <v>100</v>
      </c>
      <c r="D160">
        <v>2</v>
      </c>
      <c r="E160" s="1">
        <v>45222</v>
      </c>
      <c r="F160">
        <v>29</v>
      </c>
      <c r="G160" s="1">
        <v>45252</v>
      </c>
      <c r="H160" s="1">
        <v>45280</v>
      </c>
      <c r="I160">
        <v>3</v>
      </c>
      <c r="J160">
        <v>4</v>
      </c>
      <c r="K160">
        <v>1689</v>
      </c>
      <c r="L160">
        <v>15</v>
      </c>
      <c r="M160">
        <v>3500</v>
      </c>
      <c r="N160">
        <v>3</v>
      </c>
      <c r="O160">
        <v>1</v>
      </c>
      <c r="P160">
        <v>4</v>
      </c>
      <c r="Q160">
        <v>4</v>
      </c>
      <c r="R160">
        <v>4</v>
      </c>
      <c r="S160">
        <v>0</v>
      </c>
      <c r="T160">
        <v>5</v>
      </c>
      <c r="U160">
        <v>155</v>
      </c>
      <c r="V160">
        <v>1556.7000000000003</v>
      </c>
      <c r="W160">
        <v>6</v>
      </c>
      <c r="X160">
        <v>5189</v>
      </c>
      <c r="Y160">
        <f t="shared" si="10"/>
        <v>5211.7000000000007</v>
      </c>
      <c r="Z160">
        <f t="shared" si="11"/>
        <v>-22.700000000000728</v>
      </c>
      <c r="AA160">
        <f t="shared" si="12"/>
        <v>28</v>
      </c>
      <c r="AB160" t="str">
        <f t="shared" si="13"/>
        <v>44529</v>
      </c>
      <c r="AC160" t="str">
        <f t="shared" si="14"/>
        <v>41415129</v>
      </c>
    </row>
    <row r="161" spans="1:29" x14ac:dyDescent="0.3">
      <c r="A161">
        <f>_xlfn.XLOOKUP(E161,Date_Dim!B:B,Date_Dim!A:A)</f>
        <v>149</v>
      </c>
      <c r="B161">
        <v>2022</v>
      </c>
      <c r="C161">
        <v>101</v>
      </c>
      <c r="D161">
        <v>2</v>
      </c>
      <c r="E161" s="1">
        <v>45553</v>
      </c>
      <c r="F161">
        <v>2</v>
      </c>
      <c r="G161" s="1">
        <v>45583</v>
      </c>
      <c r="H161" s="1">
        <v>45625</v>
      </c>
      <c r="I161">
        <v>4</v>
      </c>
      <c r="J161">
        <v>2</v>
      </c>
      <c r="K161">
        <v>1999</v>
      </c>
      <c r="L161">
        <v>2</v>
      </c>
      <c r="M161">
        <v>4000</v>
      </c>
      <c r="N161">
        <v>14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2</v>
      </c>
      <c r="U161">
        <v>175</v>
      </c>
      <c r="V161">
        <v>2399.6</v>
      </c>
      <c r="W161">
        <v>2</v>
      </c>
      <c r="X161">
        <v>5999</v>
      </c>
      <c r="Y161">
        <f t="shared" si="10"/>
        <v>6574.6</v>
      </c>
      <c r="Z161">
        <f t="shared" si="11"/>
        <v>-575.60000000000036</v>
      </c>
      <c r="AA161">
        <f t="shared" si="12"/>
        <v>42</v>
      </c>
      <c r="AB161" t="str">
        <f t="shared" si="13"/>
        <v>1222</v>
      </c>
      <c r="AC161" t="str">
        <f t="shared" si="14"/>
        <v>1121212</v>
      </c>
    </row>
    <row r="162" spans="1:29" x14ac:dyDescent="0.3">
      <c r="A162">
        <f>_xlfn.XLOOKUP(E162,Date_Dim!B:B,Date_Dim!A:A)</f>
        <v>60</v>
      </c>
      <c r="B162">
        <v>2024</v>
      </c>
      <c r="C162">
        <v>101</v>
      </c>
      <c r="D162">
        <v>2</v>
      </c>
      <c r="E162" s="1">
        <v>44594</v>
      </c>
      <c r="F162">
        <v>11</v>
      </c>
      <c r="G162" s="1">
        <v>44624</v>
      </c>
      <c r="H162" s="1">
        <v>44638</v>
      </c>
      <c r="I162">
        <v>1</v>
      </c>
      <c r="J162">
        <v>2</v>
      </c>
      <c r="K162">
        <v>1459</v>
      </c>
      <c r="L162">
        <v>10</v>
      </c>
      <c r="M162">
        <v>2000</v>
      </c>
      <c r="N162">
        <v>6</v>
      </c>
      <c r="O162">
        <v>1</v>
      </c>
      <c r="P162">
        <v>2</v>
      </c>
      <c r="Q162">
        <v>2</v>
      </c>
      <c r="R162">
        <v>2</v>
      </c>
      <c r="S162">
        <v>6000</v>
      </c>
      <c r="T162">
        <v>2</v>
      </c>
      <c r="U162">
        <v>175</v>
      </c>
      <c r="V162">
        <v>3783.6000000000004</v>
      </c>
      <c r="W162">
        <v>3</v>
      </c>
      <c r="X162">
        <v>9459</v>
      </c>
      <c r="Y162">
        <f t="shared" si="10"/>
        <v>5958.6</v>
      </c>
      <c r="Z162">
        <f t="shared" si="11"/>
        <v>3500.3999999999996</v>
      </c>
      <c r="AA162">
        <f t="shared" si="12"/>
        <v>14</v>
      </c>
      <c r="AB162" t="str">
        <f t="shared" si="13"/>
        <v>22211</v>
      </c>
      <c r="AC162" t="str">
        <f t="shared" si="14"/>
        <v>21212111</v>
      </c>
    </row>
    <row r="163" spans="1:29" x14ac:dyDescent="0.3">
      <c r="A163">
        <f>_xlfn.XLOOKUP(E163,Date_Dim!B:B,Date_Dim!A:A)</f>
        <v>150</v>
      </c>
      <c r="B163">
        <v>2024</v>
      </c>
      <c r="C163">
        <v>102</v>
      </c>
      <c r="D163">
        <v>2</v>
      </c>
      <c r="E163" s="1">
        <v>44248</v>
      </c>
      <c r="F163">
        <v>2</v>
      </c>
      <c r="G163" s="1">
        <v>44278</v>
      </c>
      <c r="H163" s="1">
        <v>44320</v>
      </c>
      <c r="I163">
        <v>4</v>
      </c>
      <c r="J163">
        <v>2</v>
      </c>
      <c r="K163">
        <v>1999</v>
      </c>
      <c r="L163">
        <v>2</v>
      </c>
      <c r="M163">
        <v>4000</v>
      </c>
      <c r="N163">
        <v>14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2</v>
      </c>
      <c r="U163">
        <v>175</v>
      </c>
      <c r="V163">
        <v>2399.6</v>
      </c>
      <c r="W163">
        <v>2</v>
      </c>
      <c r="X163">
        <v>5999</v>
      </c>
      <c r="Y163">
        <f t="shared" si="10"/>
        <v>6574.6</v>
      </c>
      <c r="Z163">
        <f t="shared" si="11"/>
        <v>-575.60000000000036</v>
      </c>
      <c r="AA163">
        <f t="shared" si="12"/>
        <v>42</v>
      </c>
      <c r="AB163" t="str">
        <f t="shared" si="13"/>
        <v>1222</v>
      </c>
      <c r="AC163" t="str">
        <f t="shared" si="14"/>
        <v>1121212</v>
      </c>
    </row>
    <row r="164" spans="1:29" x14ac:dyDescent="0.3">
      <c r="A164">
        <f>_xlfn.XLOOKUP(E164,Date_Dim!B:B,Date_Dim!A:A)</f>
        <v>85</v>
      </c>
      <c r="B164">
        <v>2022</v>
      </c>
      <c r="C164">
        <v>102</v>
      </c>
      <c r="D164">
        <v>2</v>
      </c>
      <c r="E164" s="1">
        <v>44815</v>
      </c>
      <c r="F164">
        <v>9</v>
      </c>
      <c r="G164" s="1">
        <v>44845</v>
      </c>
      <c r="H164" s="1">
        <v>44901</v>
      </c>
      <c r="I164">
        <v>5</v>
      </c>
      <c r="J164">
        <v>3</v>
      </c>
      <c r="K164">
        <v>2699</v>
      </c>
      <c r="L164">
        <v>3</v>
      </c>
      <c r="M164">
        <v>3500</v>
      </c>
      <c r="N164">
        <v>12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6</v>
      </c>
      <c r="U164">
        <v>120</v>
      </c>
      <c r="V164">
        <v>1859.7000000000003</v>
      </c>
      <c r="W164">
        <v>1</v>
      </c>
      <c r="X164">
        <v>6199</v>
      </c>
      <c r="Y164">
        <f t="shared" si="10"/>
        <v>5479.7000000000007</v>
      </c>
      <c r="Z164">
        <f t="shared" si="11"/>
        <v>719.29999999999927</v>
      </c>
      <c r="AA164">
        <f t="shared" si="12"/>
        <v>56</v>
      </c>
      <c r="AB164" t="str">
        <f t="shared" si="13"/>
        <v>1369</v>
      </c>
      <c r="AC164" t="str">
        <f t="shared" si="14"/>
        <v>1131619</v>
      </c>
    </row>
    <row r="165" spans="1:29" x14ac:dyDescent="0.3">
      <c r="A165">
        <f>_xlfn.XLOOKUP(E165,Date_Dim!B:B,Date_Dim!A:A)</f>
        <v>151</v>
      </c>
      <c r="B165">
        <v>2024</v>
      </c>
      <c r="C165">
        <v>103</v>
      </c>
      <c r="D165">
        <v>2</v>
      </c>
      <c r="E165" s="1">
        <v>45205</v>
      </c>
      <c r="F165">
        <v>15</v>
      </c>
      <c r="G165" s="1">
        <v>45235</v>
      </c>
      <c r="H165" s="1">
        <v>45263</v>
      </c>
      <c r="I165">
        <v>3</v>
      </c>
      <c r="J165">
        <v>2</v>
      </c>
      <c r="K165">
        <v>1689</v>
      </c>
      <c r="L165">
        <v>10</v>
      </c>
      <c r="M165">
        <v>2500</v>
      </c>
      <c r="N165">
        <v>6</v>
      </c>
      <c r="O165">
        <v>1</v>
      </c>
      <c r="P165">
        <v>2</v>
      </c>
      <c r="Q165">
        <v>2</v>
      </c>
      <c r="R165">
        <v>2</v>
      </c>
      <c r="S165">
        <v>6000</v>
      </c>
      <c r="T165">
        <v>2</v>
      </c>
      <c r="U165">
        <v>175</v>
      </c>
      <c r="V165">
        <v>3056.7000000000003</v>
      </c>
      <c r="W165">
        <v>3</v>
      </c>
      <c r="X165">
        <v>10189</v>
      </c>
      <c r="Y165">
        <f t="shared" si="10"/>
        <v>5731.7000000000007</v>
      </c>
      <c r="Z165">
        <f t="shared" si="11"/>
        <v>4457.2999999999993</v>
      </c>
      <c r="AA165">
        <f t="shared" si="12"/>
        <v>28</v>
      </c>
      <c r="AB165" t="str">
        <f t="shared" si="13"/>
        <v>22215</v>
      </c>
      <c r="AC165" t="str">
        <f t="shared" si="14"/>
        <v>21212115</v>
      </c>
    </row>
    <row r="166" spans="1:29" x14ac:dyDescent="0.3">
      <c r="A166">
        <f>_xlfn.XLOOKUP(E166,Date_Dim!B:B,Date_Dim!A:A)</f>
        <v>94</v>
      </c>
      <c r="B166">
        <v>2024</v>
      </c>
      <c r="C166">
        <v>103</v>
      </c>
      <c r="D166">
        <v>2</v>
      </c>
      <c r="E166" s="1">
        <v>44959</v>
      </c>
      <c r="F166">
        <v>2</v>
      </c>
      <c r="G166" s="1">
        <v>44989</v>
      </c>
      <c r="H166" s="1">
        <v>45031</v>
      </c>
      <c r="I166">
        <v>4</v>
      </c>
      <c r="J166">
        <v>2</v>
      </c>
      <c r="K166">
        <v>1999</v>
      </c>
      <c r="L166">
        <v>2</v>
      </c>
      <c r="M166">
        <v>4000</v>
      </c>
      <c r="N166">
        <v>14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2</v>
      </c>
      <c r="U166">
        <v>175</v>
      </c>
      <c r="V166">
        <v>1799.7000000000003</v>
      </c>
      <c r="W166">
        <v>2</v>
      </c>
      <c r="X166">
        <v>5999</v>
      </c>
      <c r="Y166">
        <f t="shared" si="10"/>
        <v>5974.7000000000007</v>
      </c>
      <c r="Z166">
        <f t="shared" si="11"/>
        <v>24.299999999999272</v>
      </c>
      <c r="AA166">
        <f t="shared" si="12"/>
        <v>42</v>
      </c>
      <c r="AB166" t="str">
        <f t="shared" si="13"/>
        <v>1222</v>
      </c>
      <c r="AC166" t="str">
        <f t="shared" si="14"/>
        <v>1121212</v>
      </c>
    </row>
    <row r="167" spans="1:29" x14ac:dyDescent="0.3">
      <c r="A167">
        <f>_xlfn.XLOOKUP(E167,Date_Dim!B:B,Date_Dim!A:A)</f>
        <v>152</v>
      </c>
      <c r="B167">
        <v>2023</v>
      </c>
      <c r="C167">
        <v>103</v>
      </c>
      <c r="D167">
        <v>2</v>
      </c>
      <c r="E167" s="1">
        <v>45114</v>
      </c>
      <c r="F167">
        <v>5</v>
      </c>
      <c r="G167" s="1">
        <v>45144</v>
      </c>
      <c r="H167" s="1">
        <v>45200</v>
      </c>
      <c r="I167">
        <v>5</v>
      </c>
      <c r="J167">
        <v>4</v>
      </c>
      <c r="K167">
        <v>2699</v>
      </c>
      <c r="L167">
        <v>5</v>
      </c>
      <c r="M167">
        <v>5000</v>
      </c>
      <c r="N167">
        <v>8</v>
      </c>
      <c r="O167">
        <v>1</v>
      </c>
      <c r="P167">
        <v>3</v>
      </c>
      <c r="Q167">
        <v>3</v>
      </c>
      <c r="R167">
        <v>3</v>
      </c>
      <c r="S167">
        <v>2000</v>
      </c>
      <c r="T167">
        <v>3</v>
      </c>
      <c r="U167">
        <v>125</v>
      </c>
      <c r="V167">
        <v>2909.7000000000003</v>
      </c>
      <c r="W167">
        <v>4</v>
      </c>
      <c r="X167">
        <v>9699</v>
      </c>
      <c r="Y167">
        <f t="shared" si="10"/>
        <v>8034.7000000000007</v>
      </c>
      <c r="Z167">
        <f t="shared" si="11"/>
        <v>1664.2999999999993</v>
      </c>
      <c r="AA167">
        <f t="shared" si="12"/>
        <v>56</v>
      </c>
      <c r="AB167" t="str">
        <f t="shared" si="13"/>
        <v>3435</v>
      </c>
      <c r="AC167" t="str">
        <f t="shared" si="14"/>
        <v>3141315</v>
      </c>
    </row>
    <row r="168" spans="1:29" x14ac:dyDescent="0.3">
      <c r="A168">
        <f>_xlfn.XLOOKUP(E168,Date_Dim!B:B,Date_Dim!A:A)</f>
        <v>153</v>
      </c>
      <c r="B168">
        <v>2024</v>
      </c>
      <c r="C168">
        <v>104</v>
      </c>
      <c r="D168">
        <v>2</v>
      </c>
      <c r="E168" s="1">
        <v>45345</v>
      </c>
      <c r="F168">
        <v>3</v>
      </c>
      <c r="G168" s="1">
        <v>45375</v>
      </c>
      <c r="H168" s="1">
        <v>45403</v>
      </c>
      <c r="I168">
        <v>3</v>
      </c>
      <c r="J168">
        <v>3</v>
      </c>
      <c r="K168">
        <v>1689</v>
      </c>
      <c r="L168">
        <v>3</v>
      </c>
      <c r="M168">
        <v>2000</v>
      </c>
      <c r="N168">
        <v>12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2</v>
      </c>
      <c r="U168">
        <v>175</v>
      </c>
      <c r="V168">
        <v>1106.7000000000003</v>
      </c>
      <c r="W168">
        <v>2</v>
      </c>
      <c r="X168">
        <v>3689</v>
      </c>
      <c r="Y168">
        <f t="shared" si="10"/>
        <v>3281.7000000000003</v>
      </c>
      <c r="Z168">
        <f t="shared" si="11"/>
        <v>407.29999999999973</v>
      </c>
      <c r="AA168">
        <f t="shared" si="12"/>
        <v>28</v>
      </c>
      <c r="AB168" t="str">
        <f t="shared" si="13"/>
        <v>1323</v>
      </c>
      <c r="AC168" t="str">
        <f t="shared" si="14"/>
        <v>1131213</v>
      </c>
    </row>
    <row r="169" spans="1:29" x14ac:dyDescent="0.3">
      <c r="A169">
        <f>_xlfn.XLOOKUP(E169,Date_Dim!B:B,Date_Dim!A:A)</f>
        <v>154</v>
      </c>
      <c r="B169">
        <v>2021</v>
      </c>
      <c r="C169">
        <v>104</v>
      </c>
      <c r="D169">
        <v>2</v>
      </c>
      <c r="E169" s="1">
        <v>45047</v>
      </c>
      <c r="F169">
        <v>6</v>
      </c>
      <c r="G169" s="1">
        <v>45077</v>
      </c>
      <c r="H169" s="1">
        <v>45119</v>
      </c>
      <c r="I169">
        <v>4</v>
      </c>
      <c r="J169">
        <v>4</v>
      </c>
      <c r="K169">
        <v>1999</v>
      </c>
      <c r="L169">
        <v>6</v>
      </c>
      <c r="M169">
        <v>3000</v>
      </c>
      <c r="N169">
        <v>9</v>
      </c>
      <c r="O169">
        <v>1</v>
      </c>
      <c r="P169">
        <v>4</v>
      </c>
      <c r="Q169">
        <v>4</v>
      </c>
      <c r="R169">
        <v>4</v>
      </c>
      <c r="S169">
        <v>0</v>
      </c>
      <c r="T169">
        <v>4</v>
      </c>
      <c r="U169">
        <v>135</v>
      </c>
      <c r="V169">
        <v>1499.7000000000003</v>
      </c>
      <c r="W169">
        <v>5</v>
      </c>
      <c r="X169">
        <v>4999</v>
      </c>
      <c r="Y169">
        <f t="shared" si="10"/>
        <v>4634.7000000000007</v>
      </c>
      <c r="Z169">
        <f t="shared" si="11"/>
        <v>364.29999999999927</v>
      </c>
      <c r="AA169">
        <f t="shared" si="12"/>
        <v>42</v>
      </c>
      <c r="AB169" t="str">
        <f t="shared" si="13"/>
        <v>4446</v>
      </c>
      <c r="AC169" t="str">
        <f t="shared" si="14"/>
        <v>4141416</v>
      </c>
    </row>
    <row r="170" spans="1:29" x14ac:dyDescent="0.3">
      <c r="A170">
        <f>_xlfn.XLOOKUP(E170,Date_Dim!B:B,Date_Dim!A:A)</f>
        <v>137</v>
      </c>
      <c r="B170">
        <v>2020</v>
      </c>
      <c r="C170">
        <v>105</v>
      </c>
      <c r="D170">
        <v>2</v>
      </c>
      <c r="E170" s="1">
        <v>45269</v>
      </c>
      <c r="F170">
        <v>2</v>
      </c>
      <c r="G170" s="1">
        <v>45299</v>
      </c>
      <c r="H170" s="1">
        <v>45341</v>
      </c>
      <c r="I170">
        <v>4</v>
      </c>
      <c r="J170">
        <v>2</v>
      </c>
      <c r="K170">
        <v>1999</v>
      </c>
      <c r="L170">
        <v>2</v>
      </c>
      <c r="M170">
        <v>4000</v>
      </c>
      <c r="N170">
        <v>14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2</v>
      </c>
      <c r="U170">
        <v>175</v>
      </c>
      <c r="V170">
        <v>1799.7000000000003</v>
      </c>
      <c r="W170">
        <v>2</v>
      </c>
      <c r="X170">
        <v>5999</v>
      </c>
      <c r="Y170">
        <f t="shared" si="10"/>
        <v>5974.7000000000007</v>
      </c>
      <c r="Z170">
        <f t="shared" si="11"/>
        <v>24.299999999999272</v>
      </c>
      <c r="AA170">
        <f t="shared" si="12"/>
        <v>42</v>
      </c>
      <c r="AB170" t="str">
        <f t="shared" si="13"/>
        <v>1222</v>
      </c>
      <c r="AC170" t="str">
        <f t="shared" si="14"/>
        <v>1121212</v>
      </c>
    </row>
    <row r="171" spans="1:29" x14ac:dyDescent="0.3">
      <c r="A171">
        <f>_xlfn.XLOOKUP(E171,Date_Dim!B:B,Date_Dim!A:A)</f>
        <v>155</v>
      </c>
      <c r="B171">
        <v>2023</v>
      </c>
      <c r="C171">
        <v>105</v>
      </c>
      <c r="D171">
        <v>2</v>
      </c>
      <c r="E171" s="1">
        <v>44613</v>
      </c>
      <c r="F171">
        <v>3</v>
      </c>
      <c r="G171" s="1">
        <v>44643</v>
      </c>
      <c r="H171" s="1">
        <v>44671</v>
      </c>
      <c r="I171">
        <v>3</v>
      </c>
      <c r="J171">
        <v>3</v>
      </c>
      <c r="K171">
        <v>1689</v>
      </c>
      <c r="L171">
        <v>3</v>
      </c>
      <c r="M171">
        <v>2000</v>
      </c>
      <c r="N171">
        <v>12</v>
      </c>
      <c r="O171">
        <v>1</v>
      </c>
      <c r="P171">
        <v>1</v>
      </c>
      <c r="Q171">
        <v>1</v>
      </c>
      <c r="R171">
        <v>1</v>
      </c>
      <c r="S171">
        <v>0</v>
      </c>
      <c r="T171">
        <v>2</v>
      </c>
      <c r="U171">
        <v>175</v>
      </c>
      <c r="V171">
        <v>1475.6000000000001</v>
      </c>
      <c r="W171">
        <v>2</v>
      </c>
      <c r="X171">
        <v>3689</v>
      </c>
      <c r="Y171">
        <f t="shared" si="10"/>
        <v>3650.6000000000004</v>
      </c>
      <c r="Z171">
        <f t="shared" si="11"/>
        <v>38.399999999999636</v>
      </c>
      <c r="AA171">
        <f t="shared" si="12"/>
        <v>28</v>
      </c>
      <c r="AB171" t="str">
        <f t="shared" si="13"/>
        <v>1323</v>
      </c>
      <c r="AC171" t="str">
        <f t="shared" si="14"/>
        <v>1131213</v>
      </c>
    </row>
    <row r="172" spans="1:29" x14ac:dyDescent="0.3">
      <c r="A172">
        <f>_xlfn.XLOOKUP(E172,Date_Dim!B:B,Date_Dim!A:A)</f>
        <v>144</v>
      </c>
      <c r="B172">
        <v>2022</v>
      </c>
      <c r="C172">
        <v>106</v>
      </c>
      <c r="D172">
        <v>2</v>
      </c>
      <c r="E172" s="1">
        <v>44182</v>
      </c>
      <c r="F172">
        <v>15</v>
      </c>
      <c r="G172" s="1">
        <v>44212</v>
      </c>
      <c r="H172" s="1">
        <v>44240</v>
      </c>
      <c r="I172">
        <v>3</v>
      </c>
      <c r="J172">
        <v>2</v>
      </c>
      <c r="K172">
        <v>1689</v>
      </c>
      <c r="L172">
        <v>10</v>
      </c>
      <c r="M172">
        <v>2500</v>
      </c>
      <c r="N172">
        <v>6</v>
      </c>
      <c r="O172">
        <v>1</v>
      </c>
      <c r="P172">
        <v>2</v>
      </c>
      <c r="Q172">
        <v>2</v>
      </c>
      <c r="R172">
        <v>2</v>
      </c>
      <c r="S172">
        <v>6000</v>
      </c>
      <c r="T172">
        <v>2</v>
      </c>
      <c r="U172">
        <v>175</v>
      </c>
      <c r="V172">
        <v>3056.7000000000003</v>
      </c>
      <c r="W172">
        <v>3</v>
      </c>
      <c r="X172">
        <v>10189</v>
      </c>
      <c r="Y172">
        <f t="shared" si="10"/>
        <v>5731.7000000000007</v>
      </c>
      <c r="Z172">
        <f t="shared" si="11"/>
        <v>4457.2999999999993</v>
      </c>
      <c r="AA172">
        <f t="shared" si="12"/>
        <v>28</v>
      </c>
      <c r="AB172" t="str">
        <f t="shared" si="13"/>
        <v>22215</v>
      </c>
      <c r="AC172" t="str">
        <f t="shared" si="14"/>
        <v>21212115</v>
      </c>
    </row>
    <row r="173" spans="1:29" x14ac:dyDescent="0.3">
      <c r="A173">
        <f>_xlfn.XLOOKUP(E173,Date_Dim!B:B,Date_Dim!A:A)</f>
        <v>156</v>
      </c>
      <c r="B173">
        <v>2024</v>
      </c>
      <c r="C173">
        <v>106</v>
      </c>
      <c r="D173">
        <v>2</v>
      </c>
      <c r="E173" s="1">
        <v>44764</v>
      </c>
      <c r="F173">
        <v>5</v>
      </c>
      <c r="G173" s="1">
        <v>44794</v>
      </c>
      <c r="H173" s="1">
        <v>44850</v>
      </c>
      <c r="I173">
        <v>5</v>
      </c>
      <c r="J173">
        <v>4</v>
      </c>
      <c r="K173">
        <v>2699</v>
      </c>
      <c r="L173">
        <v>5</v>
      </c>
      <c r="M173">
        <v>5000</v>
      </c>
      <c r="N173">
        <v>8</v>
      </c>
      <c r="O173">
        <v>1</v>
      </c>
      <c r="P173">
        <v>5</v>
      </c>
      <c r="Q173">
        <v>5</v>
      </c>
      <c r="R173">
        <v>5</v>
      </c>
      <c r="S173">
        <v>8000</v>
      </c>
      <c r="T173">
        <v>3</v>
      </c>
      <c r="U173">
        <v>125</v>
      </c>
      <c r="V173">
        <v>4709.7000000000007</v>
      </c>
      <c r="W173">
        <v>4</v>
      </c>
      <c r="X173">
        <v>15699</v>
      </c>
      <c r="Y173">
        <f t="shared" si="10"/>
        <v>9834.7000000000007</v>
      </c>
      <c r="Z173">
        <f t="shared" si="11"/>
        <v>5864.2999999999993</v>
      </c>
      <c r="AA173">
        <f t="shared" si="12"/>
        <v>56</v>
      </c>
      <c r="AB173" t="str">
        <f t="shared" si="13"/>
        <v>5435</v>
      </c>
      <c r="AC173" t="str">
        <f t="shared" si="14"/>
        <v>5141315</v>
      </c>
    </row>
    <row r="174" spans="1:29" x14ac:dyDescent="0.3">
      <c r="A174">
        <f>_xlfn.XLOOKUP(E174,Date_Dim!B:B,Date_Dim!A:A)</f>
        <v>157</v>
      </c>
      <c r="B174">
        <v>2022</v>
      </c>
      <c r="C174">
        <v>107</v>
      </c>
      <c r="D174">
        <v>2</v>
      </c>
      <c r="E174" s="1">
        <v>45491</v>
      </c>
      <c r="F174">
        <v>6</v>
      </c>
      <c r="G174" s="1">
        <v>45521</v>
      </c>
      <c r="H174" s="1">
        <v>45563</v>
      </c>
      <c r="I174">
        <v>4</v>
      </c>
      <c r="J174">
        <v>4</v>
      </c>
      <c r="K174">
        <v>1999</v>
      </c>
      <c r="L174">
        <v>6</v>
      </c>
      <c r="M174">
        <v>3000</v>
      </c>
      <c r="N174">
        <v>9</v>
      </c>
      <c r="O174">
        <v>1</v>
      </c>
      <c r="P174">
        <v>3</v>
      </c>
      <c r="Q174">
        <v>3</v>
      </c>
      <c r="R174">
        <v>3</v>
      </c>
      <c r="S174">
        <v>2000</v>
      </c>
      <c r="T174">
        <v>4</v>
      </c>
      <c r="U174">
        <v>135</v>
      </c>
      <c r="V174">
        <v>2799.6000000000004</v>
      </c>
      <c r="W174">
        <v>7</v>
      </c>
      <c r="X174">
        <v>6999</v>
      </c>
      <c r="Y174">
        <f t="shared" si="10"/>
        <v>5934.6</v>
      </c>
      <c r="Z174">
        <f t="shared" si="11"/>
        <v>1064.3999999999996</v>
      </c>
      <c r="AA174">
        <f t="shared" si="12"/>
        <v>42</v>
      </c>
      <c r="AB174" t="str">
        <f t="shared" si="13"/>
        <v>3446</v>
      </c>
      <c r="AC174" t="str">
        <f t="shared" si="14"/>
        <v>3141416</v>
      </c>
    </row>
    <row r="175" spans="1:29" x14ac:dyDescent="0.3">
      <c r="A175">
        <f>_xlfn.XLOOKUP(E175,Date_Dim!B:B,Date_Dim!A:A)</f>
        <v>158</v>
      </c>
      <c r="B175">
        <v>2021</v>
      </c>
      <c r="C175">
        <v>108</v>
      </c>
      <c r="D175">
        <v>2</v>
      </c>
      <c r="E175" s="1">
        <v>44833</v>
      </c>
      <c r="F175">
        <v>24</v>
      </c>
      <c r="G175" s="1">
        <v>44863</v>
      </c>
      <c r="H175" s="1">
        <v>44905</v>
      </c>
      <c r="I175">
        <v>4</v>
      </c>
      <c r="J175">
        <v>3</v>
      </c>
      <c r="K175">
        <v>1999</v>
      </c>
      <c r="L175">
        <v>3</v>
      </c>
      <c r="M175">
        <v>3000</v>
      </c>
      <c r="N175">
        <v>12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2</v>
      </c>
      <c r="U175">
        <v>175</v>
      </c>
      <c r="V175">
        <v>1499.7000000000003</v>
      </c>
      <c r="W175">
        <v>1</v>
      </c>
      <c r="X175">
        <v>4999</v>
      </c>
      <c r="Y175">
        <f t="shared" si="10"/>
        <v>4674.7000000000007</v>
      </c>
      <c r="Z175">
        <f t="shared" si="11"/>
        <v>324.29999999999927</v>
      </c>
      <c r="AA175">
        <f t="shared" si="12"/>
        <v>42</v>
      </c>
      <c r="AB175" t="str">
        <f t="shared" si="13"/>
        <v>13224</v>
      </c>
      <c r="AC175" t="str">
        <f t="shared" si="14"/>
        <v>11312124</v>
      </c>
    </row>
    <row r="176" spans="1:29" x14ac:dyDescent="0.3">
      <c r="A176">
        <f>_xlfn.XLOOKUP(E176,Date_Dim!B:B,Date_Dim!A:A)</f>
        <v>159</v>
      </c>
      <c r="B176">
        <v>2024</v>
      </c>
      <c r="C176">
        <v>108</v>
      </c>
      <c r="D176">
        <v>2</v>
      </c>
      <c r="E176" s="1">
        <v>45248</v>
      </c>
      <c r="F176">
        <v>6</v>
      </c>
      <c r="G176" s="1">
        <v>45278</v>
      </c>
      <c r="H176" s="1">
        <v>45320</v>
      </c>
      <c r="I176">
        <v>4</v>
      </c>
      <c r="J176">
        <v>4</v>
      </c>
      <c r="K176">
        <v>1999</v>
      </c>
      <c r="L176">
        <v>6</v>
      </c>
      <c r="M176">
        <v>3000</v>
      </c>
      <c r="N176">
        <v>9</v>
      </c>
      <c r="O176">
        <v>1</v>
      </c>
      <c r="P176">
        <v>4</v>
      </c>
      <c r="Q176">
        <v>4</v>
      </c>
      <c r="R176">
        <v>4</v>
      </c>
      <c r="S176">
        <v>0</v>
      </c>
      <c r="T176">
        <v>4</v>
      </c>
      <c r="U176">
        <v>135</v>
      </c>
      <c r="V176">
        <v>1999.6000000000001</v>
      </c>
      <c r="W176">
        <v>5</v>
      </c>
      <c r="X176">
        <v>4999</v>
      </c>
      <c r="Y176">
        <f t="shared" si="10"/>
        <v>5134.6000000000004</v>
      </c>
      <c r="Z176">
        <f t="shared" si="11"/>
        <v>-135.60000000000036</v>
      </c>
      <c r="AA176">
        <f t="shared" si="12"/>
        <v>42</v>
      </c>
      <c r="AB176" t="str">
        <f t="shared" si="13"/>
        <v>4446</v>
      </c>
      <c r="AC176" t="str">
        <f t="shared" si="14"/>
        <v>4141416</v>
      </c>
    </row>
    <row r="177" spans="1:29" x14ac:dyDescent="0.3">
      <c r="A177">
        <f>_xlfn.XLOOKUP(E177,Date_Dim!B:B,Date_Dim!A:A)</f>
        <v>160</v>
      </c>
      <c r="B177">
        <v>2021</v>
      </c>
      <c r="C177">
        <v>109</v>
      </c>
      <c r="D177">
        <v>2</v>
      </c>
      <c r="E177" s="1">
        <v>45214</v>
      </c>
      <c r="F177">
        <v>11</v>
      </c>
      <c r="G177" s="1">
        <v>45244</v>
      </c>
      <c r="H177" s="1">
        <v>45258</v>
      </c>
      <c r="I177">
        <v>1</v>
      </c>
      <c r="J177">
        <v>2</v>
      </c>
      <c r="K177">
        <v>1459</v>
      </c>
      <c r="L177">
        <v>10</v>
      </c>
      <c r="M177">
        <v>2000</v>
      </c>
      <c r="N177">
        <v>6</v>
      </c>
      <c r="O177">
        <v>1</v>
      </c>
      <c r="P177">
        <v>2</v>
      </c>
      <c r="Q177">
        <v>2</v>
      </c>
      <c r="R177">
        <v>2</v>
      </c>
      <c r="S177">
        <v>6000</v>
      </c>
      <c r="T177">
        <v>2</v>
      </c>
      <c r="U177">
        <v>175</v>
      </c>
      <c r="V177">
        <v>2837.7000000000003</v>
      </c>
      <c r="W177">
        <v>3</v>
      </c>
      <c r="X177">
        <v>9459</v>
      </c>
      <c r="Y177">
        <f t="shared" si="10"/>
        <v>5012.7000000000007</v>
      </c>
      <c r="Z177">
        <f t="shared" si="11"/>
        <v>4446.2999999999993</v>
      </c>
      <c r="AA177">
        <f t="shared" si="12"/>
        <v>14</v>
      </c>
      <c r="AB177" t="str">
        <f t="shared" si="13"/>
        <v>22211</v>
      </c>
      <c r="AC177" t="str">
        <f t="shared" si="14"/>
        <v>21212111</v>
      </c>
    </row>
    <row r="178" spans="1:29" x14ac:dyDescent="0.3">
      <c r="A178">
        <f>_xlfn.XLOOKUP(E178,Date_Dim!B:B,Date_Dim!A:A)</f>
        <v>161</v>
      </c>
      <c r="B178">
        <v>2021</v>
      </c>
      <c r="C178">
        <v>110</v>
      </c>
      <c r="D178">
        <v>2</v>
      </c>
      <c r="E178" s="1">
        <v>43925</v>
      </c>
      <c r="F178">
        <v>7</v>
      </c>
      <c r="G178" s="1">
        <v>43955</v>
      </c>
      <c r="H178" s="1">
        <v>43976</v>
      </c>
      <c r="I178">
        <v>2</v>
      </c>
      <c r="J178">
        <v>3</v>
      </c>
      <c r="K178">
        <v>1559</v>
      </c>
      <c r="L178">
        <v>7</v>
      </c>
      <c r="M178">
        <v>1500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2</v>
      </c>
      <c r="U178">
        <v>175</v>
      </c>
      <c r="V178">
        <v>1223.6000000000001</v>
      </c>
      <c r="W178">
        <v>2</v>
      </c>
      <c r="X178">
        <v>3059</v>
      </c>
      <c r="Y178">
        <f t="shared" si="10"/>
        <v>2898.6000000000004</v>
      </c>
      <c r="Z178">
        <f t="shared" si="11"/>
        <v>160.39999999999964</v>
      </c>
      <c r="AA178">
        <f t="shared" si="12"/>
        <v>21</v>
      </c>
      <c r="AB178" t="str">
        <f t="shared" si="13"/>
        <v>1327</v>
      </c>
      <c r="AC178" t="str">
        <f t="shared" si="14"/>
        <v>1131217</v>
      </c>
    </row>
    <row r="179" spans="1:29" x14ac:dyDescent="0.3">
      <c r="A179">
        <f>_xlfn.XLOOKUP(E179,Date_Dim!B:B,Date_Dim!A:A)</f>
        <v>162</v>
      </c>
      <c r="B179">
        <v>2024</v>
      </c>
      <c r="C179">
        <v>110</v>
      </c>
      <c r="D179">
        <v>2</v>
      </c>
      <c r="E179" s="1">
        <v>43994</v>
      </c>
      <c r="F179">
        <v>8</v>
      </c>
      <c r="G179" s="1">
        <v>44024</v>
      </c>
      <c r="H179" s="1">
        <v>44038</v>
      </c>
      <c r="I179">
        <v>1</v>
      </c>
      <c r="J179">
        <v>4</v>
      </c>
      <c r="K179">
        <v>1459</v>
      </c>
      <c r="L179">
        <v>8</v>
      </c>
      <c r="M179">
        <v>1800</v>
      </c>
      <c r="N179">
        <v>2</v>
      </c>
      <c r="O179">
        <v>1</v>
      </c>
      <c r="P179">
        <v>4</v>
      </c>
      <c r="Q179">
        <v>4</v>
      </c>
      <c r="R179">
        <v>4</v>
      </c>
      <c r="S179">
        <v>0</v>
      </c>
      <c r="T179">
        <v>5</v>
      </c>
      <c r="U179">
        <v>155</v>
      </c>
      <c r="V179">
        <v>977.70000000000016</v>
      </c>
      <c r="W179">
        <v>6</v>
      </c>
      <c r="X179">
        <v>3259</v>
      </c>
      <c r="Y179">
        <f t="shared" si="10"/>
        <v>2932.7000000000003</v>
      </c>
      <c r="Z179">
        <f t="shared" si="11"/>
        <v>326.29999999999973</v>
      </c>
      <c r="AA179">
        <f t="shared" si="12"/>
        <v>14</v>
      </c>
      <c r="AB179" t="str">
        <f t="shared" si="13"/>
        <v>4458</v>
      </c>
      <c r="AC179" t="str">
        <f t="shared" si="14"/>
        <v>4141518</v>
      </c>
    </row>
    <row r="180" spans="1:29" x14ac:dyDescent="0.3">
      <c r="A180">
        <f>_xlfn.XLOOKUP(E180,Date_Dim!B:B,Date_Dim!A:A)</f>
        <v>163</v>
      </c>
      <c r="B180">
        <v>2023</v>
      </c>
      <c r="C180">
        <v>111</v>
      </c>
      <c r="D180">
        <v>2</v>
      </c>
      <c r="E180" s="1">
        <v>44948</v>
      </c>
      <c r="F180">
        <v>9</v>
      </c>
      <c r="G180" s="1">
        <v>44978</v>
      </c>
      <c r="H180" s="1">
        <v>45034</v>
      </c>
      <c r="I180">
        <v>5</v>
      </c>
      <c r="J180">
        <v>3</v>
      </c>
      <c r="K180">
        <v>2699</v>
      </c>
      <c r="L180">
        <v>3</v>
      </c>
      <c r="M180">
        <v>3500</v>
      </c>
      <c r="N180">
        <v>12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6</v>
      </c>
      <c r="U180">
        <v>120</v>
      </c>
      <c r="V180">
        <v>1859.7000000000003</v>
      </c>
      <c r="W180">
        <v>1</v>
      </c>
      <c r="X180">
        <v>6199</v>
      </c>
      <c r="Y180">
        <f t="shared" si="10"/>
        <v>5479.7000000000007</v>
      </c>
      <c r="Z180">
        <f t="shared" si="11"/>
        <v>719.29999999999927</v>
      </c>
      <c r="AA180">
        <f t="shared" si="12"/>
        <v>56</v>
      </c>
      <c r="AB180" t="str">
        <f t="shared" si="13"/>
        <v>1369</v>
      </c>
      <c r="AC180" t="str">
        <f t="shared" si="14"/>
        <v>1131619</v>
      </c>
    </row>
    <row r="181" spans="1:29" x14ac:dyDescent="0.3">
      <c r="A181">
        <f>_xlfn.XLOOKUP(E181,Date_Dim!B:B,Date_Dim!A:A)</f>
        <v>164</v>
      </c>
      <c r="B181">
        <v>2020</v>
      </c>
      <c r="C181">
        <v>111</v>
      </c>
      <c r="D181">
        <v>2</v>
      </c>
      <c r="E181" s="1">
        <v>43892</v>
      </c>
      <c r="F181">
        <v>24</v>
      </c>
      <c r="G181" s="1">
        <v>43922</v>
      </c>
      <c r="H181" s="1">
        <v>43964</v>
      </c>
      <c r="I181">
        <v>4</v>
      </c>
      <c r="J181">
        <v>3</v>
      </c>
      <c r="K181">
        <v>1999</v>
      </c>
      <c r="L181">
        <v>3</v>
      </c>
      <c r="M181">
        <v>3000</v>
      </c>
      <c r="N181">
        <v>12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2</v>
      </c>
      <c r="U181">
        <v>175</v>
      </c>
      <c r="V181">
        <v>1999.6000000000001</v>
      </c>
      <c r="W181">
        <v>2</v>
      </c>
      <c r="X181">
        <v>4999</v>
      </c>
      <c r="Y181">
        <f t="shared" si="10"/>
        <v>5174.6000000000004</v>
      </c>
      <c r="Z181">
        <f t="shared" si="11"/>
        <v>-175.60000000000036</v>
      </c>
      <c r="AA181">
        <f t="shared" si="12"/>
        <v>42</v>
      </c>
      <c r="AB181" t="str">
        <f t="shared" si="13"/>
        <v>13224</v>
      </c>
      <c r="AC181" t="str">
        <f t="shared" si="14"/>
        <v>11312124</v>
      </c>
    </row>
    <row r="182" spans="1:29" x14ac:dyDescent="0.3">
      <c r="A182">
        <f>_xlfn.XLOOKUP(E182,Date_Dim!B:B,Date_Dim!A:A)</f>
        <v>165</v>
      </c>
      <c r="B182">
        <v>2021</v>
      </c>
      <c r="C182">
        <v>112</v>
      </c>
      <c r="D182">
        <v>2</v>
      </c>
      <c r="E182" s="1">
        <v>43976</v>
      </c>
      <c r="F182">
        <v>5</v>
      </c>
      <c r="G182" s="1">
        <v>44006</v>
      </c>
      <c r="H182" s="1">
        <v>44062</v>
      </c>
      <c r="I182">
        <v>5</v>
      </c>
      <c r="J182">
        <v>4</v>
      </c>
      <c r="K182">
        <v>2699</v>
      </c>
      <c r="L182">
        <v>5</v>
      </c>
      <c r="M182">
        <v>5000</v>
      </c>
      <c r="N182">
        <v>8</v>
      </c>
      <c r="O182">
        <v>1</v>
      </c>
      <c r="P182">
        <v>5</v>
      </c>
      <c r="Q182">
        <v>5</v>
      </c>
      <c r="R182">
        <v>5</v>
      </c>
      <c r="S182">
        <v>8000</v>
      </c>
      <c r="T182">
        <v>3</v>
      </c>
      <c r="U182">
        <v>125</v>
      </c>
      <c r="V182">
        <v>4709.7000000000007</v>
      </c>
      <c r="W182">
        <v>4</v>
      </c>
      <c r="X182">
        <v>15699</v>
      </c>
      <c r="Y182">
        <f t="shared" si="10"/>
        <v>9834.7000000000007</v>
      </c>
      <c r="Z182">
        <f t="shared" si="11"/>
        <v>5864.2999999999993</v>
      </c>
      <c r="AA182">
        <f t="shared" si="12"/>
        <v>56</v>
      </c>
      <c r="AB182" t="str">
        <f t="shared" si="13"/>
        <v>5435</v>
      </c>
      <c r="AC182" t="str">
        <f t="shared" si="14"/>
        <v>5141315</v>
      </c>
    </row>
    <row r="183" spans="1:29" x14ac:dyDescent="0.3">
      <c r="A183">
        <f>_xlfn.XLOOKUP(E183,Date_Dim!B:B,Date_Dim!A:A)</f>
        <v>166</v>
      </c>
      <c r="B183">
        <v>2024</v>
      </c>
      <c r="C183">
        <v>112</v>
      </c>
      <c r="D183">
        <v>2</v>
      </c>
      <c r="E183" s="1">
        <v>43875</v>
      </c>
      <c r="F183">
        <v>6</v>
      </c>
      <c r="G183" s="1">
        <v>43905</v>
      </c>
      <c r="H183" s="1">
        <v>43947</v>
      </c>
      <c r="I183">
        <v>4</v>
      </c>
      <c r="J183">
        <v>4</v>
      </c>
      <c r="K183">
        <v>1999</v>
      </c>
      <c r="L183">
        <v>6</v>
      </c>
      <c r="M183">
        <v>3000</v>
      </c>
      <c r="N183">
        <v>9</v>
      </c>
      <c r="O183">
        <v>1</v>
      </c>
      <c r="P183">
        <v>3</v>
      </c>
      <c r="Q183">
        <v>3</v>
      </c>
      <c r="R183">
        <v>3</v>
      </c>
      <c r="S183">
        <v>2000</v>
      </c>
      <c r="T183">
        <v>4</v>
      </c>
      <c r="U183">
        <v>135</v>
      </c>
      <c r="V183">
        <v>2099.7000000000003</v>
      </c>
      <c r="W183">
        <v>5</v>
      </c>
      <c r="X183">
        <v>6999</v>
      </c>
      <c r="Y183">
        <f t="shared" si="10"/>
        <v>5234.7000000000007</v>
      </c>
      <c r="Z183">
        <f t="shared" si="11"/>
        <v>1764.2999999999993</v>
      </c>
      <c r="AA183">
        <f t="shared" si="12"/>
        <v>42</v>
      </c>
      <c r="AB183" t="str">
        <f t="shared" si="13"/>
        <v>3446</v>
      </c>
      <c r="AC183" t="str">
        <f t="shared" si="14"/>
        <v>3141416</v>
      </c>
    </row>
    <row r="184" spans="1:29" x14ac:dyDescent="0.3">
      <c r="A184">
        <f>_xlfn.XLOOKUP(E184,Date_Dim!B:B,Date_Dim!A:A)</f>
        <v>167</v>
      </c>
      <c r="B184">
        <v>2020</v>
      </c>
      <c r="C184">
        <v>113</v>
      </c>
      <c r="D184">
        <v>2</v>
      </c>
      <c r="E184" s="1">
        <v>44817</v>
      </c>
      <c r="F184">
        <v>3</v>
      </c>
      <c r="G184" s="1">
        <v>44847</v>
      </c>
      <c r="H184" s="1">
        <v>44875</v>
      </c>
      <c r="I184">
        <v>3</v>
      </c>
      <c r="J184">
        <v>3</v>
      </c>
      <c r="K184">
        <v>1689</v>
      </c>
      <c r="L184">
        <v>3</v>
      </c>
      <c r="M184">
        <v>2000</v>
      </c>
      <c r="N184">
        <v>12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2</v>
      </c>
      <c r="U184">
        <v>175</v>
      </c>
      <c r="V184">
        <v>1106.7000000000003</v>
      </c>
      <c r="W184">
        <v>2</v>
      </c>
      <c r="X184">
        <v>3689</v>
      </c>
      <c r="Y184">
        <f t="shared" si="10"/>
        <v>3281.7000000000003</v>
      </c>
      <c r="Z184">
        <f t="shared" si="11"/>
        <v>407.29999999999973</v>
      </c>
      <c r="AA184">
        <f t="shared" si="12"/>
        <v>28</v>
      </c>
      <c r="AB184" t="str">
        <f t="shared" si="13"/>
        <v>1323</v>
      </c>
      <c r="AC184" t="str">
        <f t="shared" si="14"/>
        <v>1131213</v>
      </c>
    </row>
    <row r="185" spans="1:29" x14ac:dyDescent="0.3">
      <c r="A185">
        <f>_xlfn.XLOOKUP(E185,Date_Dim!B:B,Date_Dim!A:A)</f>
        <v>168</v>
      </c>
      <c r="B185">
        <v>2023</v>
      </c>
      <c r="C185">
        <v>113</v>
      </c>
      <c r="D185">
        <v>2</v>
      </c>
      <c r="E185" s="1">
        <v>45501</v>
      </c>
      <c r="F185">
        <v>24</v>
      </c>
      <c r="G185" s="1">
        <v>45531</v>
      </c>
      <c r="H185" s="1">
        <v>45573</v>
      </c>
      <c r="I185">
        <v>4</v>
      </c>
      <c r="J185">
        <v>3</v>
      </c>
      <c r="K185">
        <v>1999</v>
      </c>
      <c r="L185">
        <v>3</v>
      </c>
      <c r="M185">
        <v>3000</v>
      </c>
      <c r="N185">
        <v>12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6</v>
      </c>
      <c r="U185">
        <v>120</v>
      </c>
      <c r="V185">
        <v>1499.7000000000003</v>
      </c>
      <c r="W185">
        <v>1</v>
      </c>
      <c r="X185">
        <v>4999</v>
      </c>
      <c r="Y185">
        <f t="shared" si="10"/>
        <v>4619.7000000000007</v>
      </c>
      <c r="Z185">
        <f t="shared" si="11"/>
        <v>379.29999999999927</v>
      </c>
      <c r="AA185">
        <f t="shared" si="12"/>
        <v>42</v>
      </c>
      <c r="AB185" t="str">
        <f t="shared" si="13"/>
        <v>13624</v>
      </c>
      <c r="AC185" t="str">
        <f t="shared" si="14"/>
        <v>11316124</v>
      </c>
    </row>
    <row r="186" spans="1:29" x14ac:dyDescent="0.3">
      <c r="A186">
        <f>_xlfn.XLOOKUP(E186,Date_Dim!B:B,Date_Dim!A:A)</f>
        <v>169</v>
      </c>
      <c r="B186">
        <v>2023</v>
      </c>
      <c r="C186">
        <v>114</v>
      </c>
      <c r="D186">
        <v>2</v>
      </c>
      <c r="E186" s="1">
        <v>45244</v>
      </c>
      <c r="F186">
        <v>33</v>
      </c>
      <c r="G186" s="1">
        <v>45274</v>
      </c>
      <c r="H186" s="1">
        <v>45288</v>
      </c>
      <c r="I186">
        <v>1</v>
      </c>
      <c r="J186">
        <v>5</v>
      </c>
      <c r="K186">
        <v>1459</v>
      </c>
      <c r="L186">
        <v>9</v>
      </c>
      <c r="M186">
        <v>1500</v>
      </c>
      <c r="N186">
        <v>4</v>
      </c>
      <c r="O186">
        <v>1</v>
      </c>
      <c r="P186">
        <v>4</v>
      </c>
      <c r="Q186">
        <v>4</v>
      </c>
      <c r="R186">
        <v>4</v>
      </c>
      <c r="S186">
        <v>0</v>
      </c>
      <c r="T186">
        <v>8</v>
      </c>
      <c r="U186">
        <v>80</v>
      </c>
      <c r="V186">
        <v>1183.6000000000001</v>
      </c>
      <c r="W186">
        <v>8</v>
      </c>
      <c r="X186">
        <v>2959</v>
      </c>
      <c r="Y186">
        <f t="shared" si="10"/>
        <v>2763.6000000000004</v>
      </c>
      <c r="Z186">
        <f t="shared" si="11"/>
        <v>195.39999999999964</v>
      </c>
      <c r="AA186">
        <f t="shared" si="12"/>
        <v>14</v>
      </c>
      <c r="AB186" t="str">
        <f t="shared" si="13"/>
        <v>45833</v>
      </c>
      <c r="AC186" t="str">
        <f t="shared" si="14"/>
        <v>41518133</v>
      </c>
    </row>
    <row r="187" spans="1:29" x14ac:dyDescent="0.3">
      <c r="A187">
        <f>_xlfn.XLOOKUP(E187,Date_Dim!B:B,Date_Dim!A:A)</f>
        <v>170</v>
      </c>
      <c r="B187">
        <v>2023</v>
      </c>
      <c r="C187">
        <v>115</v>
      </c>
      <c r="D187">
        <v>2</v>
      </c>
      <c r="E187" s="1">
        <v>45644</v>
      </c>
      <c r="F187">
        <v>19</v>
      </c>
      <c r="G187" s="1">
        <v>45674</v>
      </c>
      <c r="H187" s="1">
        <v>45730</v>
      </c>
      <c r="I187">
        <v>5</v>
      </c>
      <c r="J187">
        <v>6</v>
      </c>
      <c r="K187">
        <v>2699</v>
      </c>
      <c r="L187">
        <v>8</v>
      </c>
      <c r="M187">
        <v>3200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6000</v>
      </c>
      <c r="T187">
        <v>2</v>
      </c>
      <c r="U187">
        <v>175</v>
      </c>
      <c r="V187">
        <v>3569.7000000000007</v>
      </c>
      <c r="W187">
        <v>3</v>
      </c>
      <c r="X187">
        <v>11899</v>
      </c>
      <c r="Y187">
        <f t="shared" si="10"/>
        <v>6944.7000000000007</v>
      </c>
      <c r="Z187">
        <f t="shared" si="11"/>
        <v>4954.2999999999993</v>
      </c>
      <c r="AA187">
        <f t="shared" si="12"/>
        <v>56</v>
      </c>
      <c r="AB187" t="str">
        <f t="shared" si="13"/>
        <v>26219</v>
      </c>
      <c r="AC187" t="str">
        <f t="shared" si="14"/>
        <v>21612119</v>
      </c>
    </row>
    <row r="188" spans="1:29" x14ac:dyDescent="0.3">
      <c r="A188">
        <f>_xlfn.XLOOKUP(E188,Date_Dim!B:B,Date_Dim!A:A)</f>
        <v>75</v>
      </c>
      <c r="B188">
        <v>2023</v>
      </c>
      <c r="C188">
        <v>116</v>
      </c>
      <c r="D188">
        <v>2</v>
      </c>
      <c r="E188" s="1">
        <v>44447</v>
      </c>
      <c r="F188">
        <v>18</v>
      </c>
      <c r="G188" s="1">
        <v>44477</v>
      </c>
      <c r="H188" s="1">
        <v>44505</v>
      </c>
      <c r="I188">
        <v>3</v>
      </c>
      <c r="J188">
        <v>2</v>
      </c>
      <c r="K188">
        <v>1689</v>
      </c>
      <c r="L188">
        <v>10</v>
      </c>
      <c r="M188">
        <v>2500</v>
      </c>
      <c r="N188">
        <v>6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2</v>
      </c>
      <c r="U188">
        <v>175</v>
      </c>
      <c r="V188">
        <v>1675.6000000000001</v>
      </c>
      <c r="W188">
        <v>3</v>
      </c>
      <c r="X188">
        <v>4189</v>
      </c>
      <c r="Y188">
        <f t="shared" si="10"/>
        <v>4350.6000000000004</v>
      </c>
      <c r="Z188">
        <f t="shared" si="11"/>
        <v>-161.60000000000036</v>
      </c>
      <c r="AA188">
        <f t="shared" si="12"/>
        <v>28</v>
      </c>
      <c r="AB188" t="str">
        <f t="shared" si="13"/>
        <v>12218</v>
      </c>
      <c r="AC188" t="str">
        <f t="shared" si="14"/>
        <v>11212118</v>
      </c>
    </row>
    <row r="189" spans="1:29" x14ac:dyDescent="0.3">
      <c r="A189">
        <f>_xlfn.XLOOKUP(E189,Date_Dim!B:B,Date_Dim!A:A)</f>
        <v>171</v>
      </c>
      <c r="B189">
        <v>2020</v>
      </c>
      <c r="C189">
        <v>116</v>
      </c>
      <c r="D189">
        <v>2</v>
      </c>
      <c r="E189" s="1">
        <v>44849</v>
      </c>
      <c r="F189">
        <v>19</v>
      </c>
      <c r="G189" s="1">
        <v>44879</v>
      </c>
      <c r="H189" s="1">
        <v>44935</v>
      </c>
      <c r="I189">
        <v>5</v>
      </c>
      <c r="J189">
        <v>6</v>
      </c>
      <c r="K189">
        <v>2699</v>
      </c>
      <c r="L189">
        <v>8</v>
      </c>
      <c r="M189">
        <v>3200</v>
      </c>
      <c r="N189">
        <v>2</v>
      </c>
      <c r="O189">
        <v>1</v>
      </c>
      <c r="P189">
        <v>2</v>
      </c>
      <c r="Q189">
        <v>2</v>
      </c>
      <c r="R189">
        <v>2</v>
      </c>
      <c r="S189">
        <v>6000</v>
      </c>
      <c r="T189">
        <v>7</v>
      </c>
      <c r="U189">
        <v>25</v>
      </c>
      <c r="V189">
        <v>3569.7000000000007</v>
      </c>
      <c r="W189">
        <v>3</v>
      </c>
      <c r="X189">
        <v>11899</v>
      </c>
      <c r="Y189">
        <f t="shared" si="10"/>
        <v>6794.7000000000007</v>
      </c>
      <c r="Z189">
        <f t="shared" si="11"/>
        <v>5104.2999999999993</v>
      </c>
      <c r="AA189">
        <f t="shared" si="12"/>
        <v>56</v>
      </c>
      <c r="AB189" t="str">
        <f t="shared" si="13"/>
        <v>26719</v>
      </c>
      <c r="AC189" t="str">
        <f t="shared" si="14"/>
        <v>21617119</v>
      </c>
    </row>
    <row r="190" spans="1:29" x14ac:dyDescent="0.3">
      <c r="A190">
        <f>_xlfn.XLOOKUP(E190,Date_Dim!B:B,Date_Dim!A:A)</f>
        <v>4</v>
      </c>
      <c r="B190">
        <v>2020</v>
      </c>
      <c r="C190">
        <v>117</v>
      </c>
      <c r="D190">
        <v>2</v>
      </c>
      <c r="E190" s="1">
        <v>45511</v>
      </c>
      <c r="F190">
        <v>16</v>
      </c>
      <c r="G190" s="1">
        <v>45541</v>
      </c>
      <c r="H190" s="1">
        <v>45597</v>
      </c>
      <c r="I190">
        <v>5</v>
      </c>
      <c r="J190">
        <v>6</v>
      </c>
      <c r="K190">
        <v>2699</v>
      </c>
      <c r="L190">
        <v>11</v>
      </c>
      <c r="M190">
        <v>3000</v>
      </c>
      <c r="N190">
        <v>7</v>
      </c>
      <c r="O190">
        <v>1</v>
      </c>
      <c r="P190">
        <v>2</v>
      </c>
      <c r="Q190">
        <v>2</v>
      </c>
      <c r="R190">
        <v>2</v>
      </c>
      <c r="S190">
        <v>6000</v>
      </c>
      <c r="T190">
        <v>7</v>
      </c>
      <c r="U190">
        <v>25</v>
      </c>
      <c r="V190">
        <v>3509.7000000000007</v>
      </c>
      <c r="W190">
        <v>3</v>
      </c>
      <c r="X190">
        <v>11699</v>
      </c>
      <c r="Y190">
        <f t="shared" si="10"/>
        <v>6534.7000000000007</v>
      </c>
      <c r="Z190">
        <f t="shared" si="11"/>
        <v>5164.2999999999993</v>
      </c>
      <c r="AA190">
        <f t="shared" si="12"/>
        <v>56</v>
      </c>
      <c r="AB190" t="str">
        <f t="shared" si="13"/>
        <v>26716</v>
      </c>
      <c r="AC190" t="str">
        <f t="shared" si="14"/>
        <v>21617116</v>
      </c>
    </row>
    <row r="191" spans="1:29" x14ac:dyDescent="0.3">
      <c r="A191">
        <f>_xlfn.XLOOKUP(E191,Date_Dim!B:B,Date_Dim!A:A)</f>
        <v>172</v>
      </c>
      <c r="B191">
        <v>2023</v>
      </c>
      <c r="C191">
        <v>117</v>
      </c>
      <c r="D191">
        <v>2</v>
      </c>
      <c r="E191" s="1">
        <v>45311</v>
      </c>
      <c r="F191">
        <v>18</v>
      </c>
      <c r="G191" s="1">
        <v>45341</v>
      </c>
      <c r="H191" s="1">
        <v>45369</v>
      </c>
      <c r="I191">
        <v>3</v>
      </c>
      <c r="J191">
        <v>2</v>
      </c>
      <c r="K191">
        <v>1689</v>
      </c>
      <c r="L191">
        <v>10</v>
      </c>
      <c r="M191">
        <v>2500</v>
      </c>
      <c r="N191">
        <v>6</v>
      </c>
      <c r="O191">
        <v>1</v>
      </c>
      <c r="P191">
        <v>2</v>
      </c>
      <c r="Q191">
        <v>2</v>
      </c>
      <c r="R191">
        <v>2</v>
      </c>
      <c r="S191">
        <v>6000</v>
      </c>
      <c r="T191">
        <v>2</v>
      </c>
      <c r="U191">
        <v>175</v>
      </c>
      <c r="V191">
        <v>3056.7000000000003</v>
      </c>
      <c r="W191">
        <v>3</v>
      </c>
      <c r="X191">
        <v>10189</v>
      </c>
      <c r="Y191">
        <f t="shared" si="10"/>
        <v>5731.7000000000007</v>
      </c>
      <c r="Z191">
        <f t="shared" si="11"/>
        <v>4457.2999999999993</v>
      </c>
      <c r="AA191">
        <f t="shared" si="12"/>
        <v>28</v>
      </c>
      <c r="AB191" t="str">
        <f t="shared" si="13"/>
        <v>22218</v>
      </c>
      <c r="AC191" t="str">
        <f t="shared" si="14"/>
        <v>21212118</v>
      </c>
    </row>
    <row r="192" spans="1:29" x14ac:dyDescent="0.3">
      <c r="A192">
        <f>_xlfn.XLOOKUP(E192,Date_Dim!B:B,Date_Dim!A:A)</f>
        <v>24</v>
      </c>
      <c r="B192">
        <v>2022</v>
      </c>
      <c r="C192">
        <v>118</v>
      </c>
      <c r="D192">
        <v>2</v>
      </c>
      <c r="E192" s="1">
        <v>45151</v>
      </c>
      <c r="F192">
        <v>2</v>
      </c>
      <c r="G192" s="1">
        <v>45181</v>
      </c>
      <c r="H192" s="1">
        <v>45223</v>
      </c>
      <c r="I192">
        <v>4</v>
      </c>
      <c r="J192">
        <v>2</v>
      </c>
      <c r="K192">
        <v>1999</v>
      </c>
      <c r="L192">
        <v>2</v>
      </c>
      <c r="M192">
        <v>4000</v>
      </c>
      <c r="N192">
        <v>14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2</v>
      </c>
      <c r="U192">
        <v>175</v>
      </c>
      <c r="V192">
        <v>1799.7000000000003</v>
      </c>
      <c r="W192">
        <v>2</v>
      </c>
      <c r="X192">
        <v>5999</v>
      </c>
      <c r="Y192">
        <f t="shared" si="10"/>
        <v>5974.7000000000007</v>
      </c>
      <c r="Z192">
        <f t="shared" si="11"/>
        <v>24.299999999999272</v>
      </c>
      <c r="AA192">
        <f t="shared" si="12"/>
        <v>42</v>
      </c>
      <c r="AB192" t="str">
        <f t="shared" si="13"/>
        <v>1222</v>
      </c>
      <c r="AC192" t="str">
        <f t="shared" si="14"/>
        <v>1121212</v>
      </c>
    </row>
    <row r="193" spans="1:29" x14ac:dyDescent="0.3">
      <c r="A193">
        <f>_xlfn.XLOOKUP(E193,Date_Dim!B:B,Date_Dim!A:A)</f>
        <v>173</v>
      </c>
      <c r="B193">
        <v>2024</v>
      </c>
      <c r="C193">
        <v>118</v>
      </c>
      <c r="D193">
        <v>2</v>
      </c>
      <c r="E193" s="1">
        <v>45009</v>
      </c>
      <c r="F193">
        <v>11</v>
      </c>
      <c r="G193" s="1">
        <v>45039</v>
      </c>
      <c r="H193" s="1">
        <v>45053</v>
      </c>
      <c r="I193">
        <v>1</v>
      </c>
      <c r="J193">
        <v>2</v>
      </c>
      <c r="K193">
        <v>1459</v>
      </c>
      <c r="L193">
        <v>10</v>
      </c>
      <c r="M193">
        <v>2000</v>
      </c>
      <c r="N193">
        <v>6</v>
      </c>
      <c r="O193">
        <v>1</v>
      </c>
      <c r="P193">
        <v>2</v>
      </c>
      <c r="Q193">
        <v>2</v>
      </c>
      <c r="R193">
        <v>2</v>
      </c>
      <c r="S193">
        <v>6000</v>
      </c>
      <c r="T193">
        <v>2</v>
      </c>
      <c r="U193">
        <v>175</v>
      </c>
      <c r="V193">
        <v>2837.7000000000003</v>
      </c>
      <c r="W193">
        <v>3</v>
      </c>
      <c r="X193">
        <v>9459</v>
      </c>
      <c r="Y193">
        <f t="shared" si="10"/>
        <v>5012.7000000000007</v>
      </c>
      <c r="Z193">
        <f t="shared" si="11"/>
        <v>4446.2999999999993</v>
      </c>
      <c r="AA193">
        <f t="shared" si="12"/>
        <v>14</v>
      </c>
      <c r="AB193" t="str">
        <f t="shared" si="13"/>
        <v>22211</v>
      </c>
      <c r="AC193" t="str">
        <f t="shared" si="14"/>
        <v>21212111</v>
      </c>
    </row>
    <row r="194" spans="1:29" x14ac:dyDescent="0.3">
      <c r="A194">
        <f>_xlfn.XLOOKUP(E194,Date_Dim!B:B,Date_Dim!A:A)</f>
        <v>174</v>
      </c>
      <c r="B194">
        <v>2023</v>
      </c>
      <c r="C194">
        <v>119</v>
      </c>
      <c r="D194">
        <v>2</v>
      </c>
      <c r="E194" s="1">
        <v>44990</v>
      </c>
      <c r="F194">
        <v>2</v>
      </c>
      <c r="G194" s="1">
        <v>45020</v>
      </c>
      <c r="H194" s="1">
        <v>45062</v>
      </c>
      <c r="I194">
        <v>4</v>
      </c>
      <c r="J194">
        <v>2</v>
      </c>
      <c r="K194">
        <v>1999</v>
      </c>
      <c r="L194">
        <v>2</v>
      </c>
      <c r="M194">
        <v>4000</v>
      </c>
      <c r="N194">
        <v>14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2</v>
      </c>
      <c r="U194">
        <v>175</v>
      </c>
      <c r="V194">
        <v>2399.6</v>
      </c>
      <c r="W194">
        <v>2</v>
      </c>
      <c r="X194">
        <v>5999</v>
      </c>
      <c r="Y194">
        <f t="shared" ref="Y194:Y257" si="15">M194+U194+V194</f>
        <v>6574.6</v>
      </c>
      <c r="Z194">
        <f t="shared" ref="Z194:Z257" si="16">X194-Y194</f>
        <v>-575.60000000000036</v>
      </c>
      <c r="AA194">
        <f t="shared" ref="AA194:AA257" si="17">H194-G194</f>
        <v>42</v>
      </c>
      <c r="AB194" t="str">
        <f t="shared" ref="AB194:AB257" si="18">P194&amp;J194&amp;T194&amp;F194</f>
        <v>1222</v>
      </c>
      <c r="AC194" t="str">
        <f t="shared" ref="AC194:AC257" si="19">P194&amp;"1"&amp;J194&amp;"1"&amp;T194&amp;"1"&amp;F194</f>
        <v>1121212</v>
      </c>
    </row>
    <row r="195" spans="1:29" x14ac:dyDescent="0.3">
      <c r="A195">
        <f>_xlfn.XLOOKUP(E195,Date_Dim!B:B,Date_Dim!A:A)</f>
        <v>175</v>
      </c>
      <c r="B195">
        <v>2020</v>
      </c>
      <c r="C195">
        <v>119</v>
      </c>
      <c r="D195">
        <v>2</v>
      </c>
      <c r="E195" s="1">
        <v>45023</v>
      </c>
      <c r="F195">
        <v>11</v>
      </c>
      <c r="G195" s="1">
        <v>45053</v>
      </c>
      <c r="H195" s="1">
        <v>45067</v>
      </c>
      <c r="I195">
        <v>1</v>
      </c>
      <c r="J195">
        <v>2</v>
      </c>
      <c r="K195">
        <v>1459</v>
      </c>
      <c r="L195">
        <v>10</v>
      </c>
      <c r="M195">
        <v>2000</v>
      </c>
      <c r="N195">
        <v>6</v>
      </c>
      <c r="O195">
        <v>1</v>
      </c>
      <c r="P195">
        <v>2</v>
      </c>
      <c r="Q195">
        <v>2</v>
      </c>
      <c r="R195">
        <v>2</v>
      </c>
      <c r="S195">
        <v>6000</v>
      </c>
      <c r="T195">
        <v>2</v>
      </c>
      <c r="U195">
        <v>175</v>
      </c>
      <c r="V195">
        <v>2837.7000000000003</v>
      </c>
      <c r="W195">
        <v>3</v>
      </c>
      <c r="X195">
        <v>9459</v>
      </c>
      <c r="Y195">
        <f t="shared" si="15"/>
        <v>5012.7000000000007</v>
      </c>
      <c r="Z195">
        <f t="shared" si="16"/>
        <v>4446.2999999999993</v>
      </c>
      <c r="AA195">
        <f t="shared" si="17"/>
        <v>14</v>
      </c>
      <c r="AB195" t="str">
        <f t="shared" si="18"/>
        <v>22211</v>
      </c>
      <c r="AC195" t="str">
        <f t="shared" si="19"/>
        <v>21212111</v>
      </c>
    </row>
    <row r="196" spans="1:29" x14ac:dyDescent="0.3">
      <c r="A196">
        <f>_xlfn.XLOOKUP(E196,Date_Dim!B:B,Date_Dim!A:A)</f>
        <v>176</v>
      </c>
      <c r="B196">
        <v>2022</v>
      </c>
      <c r="C196">
        <v>120</v>
      </c>
      <c r="D196">
        <v>2</v>
      </c>
      <c r="E196" s="1">
        <v>44264</v>
      </c>
      <c r="F196">
        <v>2</v>
      </c>
      <c r="G196" s="1">
        <v>44294</v>
      </c>
      <c r="H196" s="1">
        <v>44336</v>
      </c>
      <c r="I196">
        <v>4</v>
      </c>
      <c r="J196">
        <v>2</v>
      </c>
      <c r="K196">
        <v>1999</v>
      </c>
      <c r="L196">
        <v>2</v>
      </c>
      <c r="M196">
        <v>4000</v>
      </c>
      <c r="N196">
        <v>14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2</v>
      </c>
      <c r="U196">
        <v>175</v>
      </c>
      <c r="V196">
        <v>1799.7000000000003</v>
      </c>
      <c r="W196">
        <v>2</v>
      </c>
      <c r="X196">
        <v>5999</v>
      </c>
      <c r="Y196">
        <f t="shared" si="15"/>
        <v>5974.7000000000007</v>
      </c>
      <c r="Z196">
        <f t="shared" si="16"/>
        <v>24.299999999999272</v>
      </c>
      <c r="AA196">
        <f t="shared" si="17"/>
        <v>42</v>
      </c>
      <c r="AB196" t="str">
        <f t="shared" si="18"/>
        <v>1222</v>
      </c>
      <c r="AC196" t="str">
        <f t="shared" si="19"/>
        <v>1121212</v>
      </c>
    </row>
    <row r="197" spans="1:29" x14ac:dyDescent="0.3">
      <c r="A197">
        <f>_xlfn.XLOOKUP(E197,Date_Dim!B:B,Date_Dim!A:A)</f>
        <v>177</v>
      </c>
      <c r="B197">
        <v>2024</v>
      </c>
      <c r="C197">
        <v>120</v>
      </c>
      <c r="D197">
        <v>2</v>
      </c>
      <c r="E197" s="1">
        <v>44715</v>
      </c>
      <c r="F197">
        <v>11</v>
      </c>
      <c r="G197" s="1">
        <v>44745</v>
      </c>
      <c r="H197" s="1">
        <v>44759</v>
      </c>
      <c r="I197">
        <v>1</v>
      </c>
      <c r="J197">
        <v>2</v>
      </c>
      <c r="K197">
        <v>1459</v>
      </c>
      <c r="L197">
        <v>10</v>
      </c>
      <c r="M197">
        <v>2000</v>
      </c>
      <c r="N197">
        <v>6</v>
      </c>
      <c r="O197">
        <v>1</v>
      </c>
      <c r="P197">
        <v>2</v>
      </c>
      <c r="Q197">
        <v>2</v>
      </c>
      <c r="R197">
        <v>2</v>
      </c>
      <c r="S197">
        <v>6000</v>
      </c>
      <c r="T197">
        <v>2</v>
      </c>
      <c r="U197">
        <v>175</v>
      </c>
      <c r="V197">
        <v>2837.7000000000003</v>
      </c>
      <c r="W197">
        <v>3</v>
      </c>
      <c r="X197">
        <v>9459</v>
      </c>
      <c r="Y197">
        <f t="shared" si="15"/>
        <v>5012.7000000000007</v>
      </c>
      <c r="Z197">
        <f t="shared" si="16"/>
        <v>4446.2999999999993</v>
      </c>
      <c r="AA197">
        <f t="shared" si="17"/>
        <v>14</v>
      </c>
      <c r="AB197" t="str">
        <f t="shared" si="18"/>
        <v>22211</v>
      </c>
      <c r="AC197" t="str">
        <f t="shared" si="19"/>
        <v>21212111</v>
      </c>
    </row>
    <row r="198" spans="1:29" x14ac:dyDescent="0.3">
      <c r="A198">
        <f>_xlfn.XLOOKUP(E198,Date_Dim!B:B,Date_Dim!A:A)</f>
        <v>178</v>
      </c>
      <c r="B198">
        <v>2022</v>
      </c>
      <c r="C198">
        <v>121</v>
      </c>
      <c r="D198">
        <v>2</v>
      </c>
      <c r="E198" s="1">
        <v>44992</v>
      </c>
      <c r="F198">
        <v>15</v>
      </c>
      <c r="G198" s="1">
        <v>45022</v>
      </c>
      <c r="H198" s="1">
        <v>45050</v>
      </c>
      <c r="I198">
        <v>3</v>
      </c>
      <c r="J198">
        <v>2</v>
      </c>
      <c r="K198">
        <v>1689</v>
      </c>
      <c r="L198">
        <v>10</v>
      </c>
      <c r="M198">
        <v>2500</v>
      </c>
      <c r="N198">
        <v>6</v>
      </c>
      <c r="O198">
        <v>1</v>
      </c>
      <c r="P198">
        <v>2</v>
      </c>
      <c r="Q198">
        <v>2</v>
      </c>
      <c r="R198">
        <v>2</v>
      </c>
      <c r="S198">
        <v>6000</v>
      </c>
      <c r="T198">
        <v>2</v>
      </c>
      <c r="U198">
        <v>175</v>
      </c>
      <c r="V198">
        <v>4075.6000000000004</v>
      </c>
      <c r="W198">
        <v>3</v>
      </c>
      <c r="X198">
        <v>10189</v>
      </c>
      <c r="Y198">
        <f t="shared" si="15"/>
        <v>6750.6</v>
      </c>
      <c r="Z198">
        <f t="shared" si="16"/>
        <v>3438.3999999999996</v>
      </c>
      <c r="AA198">
        <f t="shared" si="17"/>
        <v>28</v>
      </c>
      <c r="AB198" t="str">
        <f t="shared" si="18"/>
        <v>22215</v>
      </c>
      <c r="AC198" t="str">
        <f t="shared" si="19"/>
        <v>21212115</v>
      </c>
    </row>
    <row r="199" spans="1:29" x14ac:dyDescent="0.3">
      <c r="A199">
        <f>_xlfn.XLOOKUP(E199,Date_Dim!B:B,Date_Dim!A:A)</f>
        <v>179</v>
      </c>
      <c r="B199">
        <v>2024</v>
      </c>
      <c r="C199">
        <v>121</v>
      </c>
      <c r="D199">
        <v>2</v>
      </c>
      <c r="E199" s="1">
        <v>45277</v>
      </c>
      <c r="F199">
        <v>5</v>
      </c>
      <c r="G199" s="1">
        <v>45307</v>
      </c>
      <c r="H199" s="1">
        <v>45363</v>
      </c>
      <c r="I199">
        <v>5</v>
      </c>
      <c r="J199">
        <v>4</v>
      </c>
      <c r="K199">
        <v>2699</v>
      </c>
      <c r="L199">
        <v>5</v>
      </c>
      <c r="M199">
        <v>5000</v>
      </c>
      <c r="N199">
        <v>8</v>
      </c>
      <c r="O199">
        <v>1</v>
      </c>
      <c r="P199">
        <v>5</v>
      </c>
      <c r="Q199">
        <v>5</v>
      </c>
      <c r="R199">
        <v>5</v>
      </c>
      <c r="S199">
        <v>8000</v>
      </c>
      <c r="T199">
        <v>3</v>
      </c>
      <c r="U199">
        <v>125</v>
      </c>
      <c r="V199">
        <v>6279.6</v>
      </c>
      <c r="W199">
        <v>4</v>
      </c>
      <c r="X199">
        <v>15699</v>
      </c>
      <c r="Y199">
        <f t="shared" si="15"/>
        <v>11404.6</v>
      </c>
      <c r="Z199">
        <f t="shared" si="16"/>
        <v>4294.3999999999996</v>
      </c>
      <c r="AA199">
        <f t="shared" si="17"/>
        <v>56</v>
      </c>
      <c r="AB199" t="str">
        <f t="shared" si="18"/>
        <v>5435</v>
      </c>
      <c r="AC199" t="str">
        <f t="shared" si="19"/>
        <v>5141315</v>
      </c>
    </row>
    <row r="200" spans="1:29" x14ac:dyDescent="0.3">
      <c r="A200">
        <f>_xlfn.XLOOKUP(E200,Date_Dim!B:B,Date_Dim!A:A)</f>
        <v>36</v>
      </c>
      <c r="B200">
        <v>2021</v>
      </c>
      <c r="C200">
        <v>122</v>
      </c>
      <c r="D200">
        <v>2</v>
      </c>
      <c r="E200" s="1">
        <v>44868</v>
      </c>
      <c r="F200">
        <v>11</v>
      </c>
      <c r="G200" s="1">
        <v>44898</v>
      </c>
      <c r="H200" s="1">
        <v>44912</v>
      </c>
      <c r="I200">
        <v>1</v>
      </c>
      <c r="J200">
        <v>2</v>
      </c>
      <c r="K200">
        <v>1459</v>
      </c>
      <c r="L200">
        <v>10</v>
      </c>
      <c r="M200">
        <v>2000</v>
      </c>
      <c r="N200">
        <v>6</v>
      </c>
      <c r="O200">
        <v>1</v>
      </c>
      <c r="P200">
        <v>2</v>
      </c>
      <c r="Q200">
        <v>2</v>
      </c>
      <c r="R200">
        <v>2</v>
      </c>
      <c r="S200">
        <v>6000</v>
      </c>
      <c r="T200">
        <v>2</v>
      </c>
      <c r="U200">
        <v>175</v>
      </c>
      <c r="V200">
        <v>2837.7000000000003</v>
      </c>
      <c r="W200">
        <v>3</v>
      </c>
      <c r="X200">
        <v>9459</v>
      </c>
      <c r="Y200">
        <f t="shared" si="15"/>
        <v>5012.7000000000007</v>
      </c>
      <c r="Z200">
        <f t="shared" si="16"/>
        <v>4446.2999999999993</v>
      </c>
      <c r="AA200">
        <f t="shared" si="17"/>
        <v>14</v>
      </c>
      <c r="AB200" t="str">
        <f t="shared" si="18"/>
        <v>22211</v>
      </c>
      <c r="AC200" t="str">
        <f t="shared" si="19"/>
        <v>21212111</v>
      </c>
    </row>
    <row r="201" spans="1:29" x14ac:dyDescent="0.3">
      <c r="A201">
        <f>_xlfn.XLOOKUP(E201,Date_Dim!B:B,Date_Dim!A:A)</f>
        <v>180</v>
      </c>
      <c r="B201">
        <v>2021</v>
      </c>
      <c r="C201">
        <v>123</v>
      </c>
      <c r="D201">
        <v>2</v>
      </c>
      <c r="E201" s="1">
        <v>44839</v>
      </c>
      <c r="F201">
        <v>22</v>
      </c>
      <c r="G201" s="1">
        <v>44869</v>
      </c>
      <c r="H201" s="1">
        <v>44890</v>
      </c>
      <c r="I201">
        <v>2</v>
      </c>
      <c r="J201">
        <v>6</v>
      </c>
      <c r="K201">
        <v>1559</v>
      </c>
      <c r="L201">
        <v>8</v>
      </c>
      <c r="M201">
        <v>2600</v>
      </c>
      <c r="N201">
        <v>2</v>
      </c>
      <c r="O201">
        <v>1</v>
      </c>
      <c r="P201">
        <v>2</v>
      </c>
      <c r="Q201">
        <v>2</v>
      </c>
      <c r="R201">
        <v>2</v>
      </c>
      <c r="S201">
        <v>6000</v>
      </c>
      <c r="T201">
        <v>7</v>
      </c>
      <c r="U201">
        <v>25</v>
      </c>
      <c r="V201">
        <v>4063.6000000000004</v>
      </c>
      <c r="W201">
        <v>3</v>
      </c>
      <c r="X201">
        <v>10159</v>
      </c>
      <c r="Y201">
        <f t="shared" si="15"/>
        <v>6688.6</v>
      </c>
      <c r="Z201">
        <f t="shared" si="16"/>
        <v>3470.3999999999996</v>
      </c>
      <c r="AA201">
        <f t="shared" si="17"/>
        <v>21</v>
      </c>
      <c r="AB201" t="str">
        <f t="shared" si="18"/>
        <v>26722</v>
      </c>
      <c r="AC201" t="str">
        <f t="shared" si="19"/>
        <v>21617122</v>
      </c>
    </row>
    <row r="202" spans="1:29" x14ac:dyDescent="0.3">
      <c r="A202">
        <f>_xlfn.XLOOKUP(E202,Date_Dim!B:B,Date_Dim!A:A)</f>
        <v>181</v>
      </c>
      <c r="B202">
        <v>2023</v>
      </c>
      <c r="C202">
        <v>124</v>
      </c>
      <c r="D202">
        <v>2</v>
      </c>
      <c r="E202" s="1">
        <v>44318</v>
      </c>
      <c r="F202">
        <v>8</v>
      </c>
      <c r="G202" s="1">
        <v>44348</v>
      </c>
      <c r="H202" s="1">
        <v>44362</v>
      </c>
      <c r="I202">
        <v>1</v>
      </c>
      <c r="J202">
        <v>4</v>
      </c>
      <c r="K202">
        <v>1459</v>
      </c>
      <c r="L202">
        <v>8</v>
      </c>
      <c r="M202">
        <v>1800</v>
      </c>
      <c r="N202">
        <v>2</v>
      </c>
      <c r="O202">
        <v>1</v>
      </c>
      <c r="P202">
        <v>4</v>
      </c>
      <c r="Q202">
        <v>4</v>
      </c>
      <c r="R202">
        <v>4</v>
      </c>
      <c r="S202">
        <v>0</v>
      </c>
      <c r="T202">
        <v>5</v>
      </c>
      <c r="U202">
        <v>155</v>
      </c>
      <c r="V202">
        <v>977.70000000000016</v>
      </c>
      <c r="W202">
        <v>6</v>
      </c>
      <c r="X202">
        <v>3259</v>
      </c>
      <c r="Y202">
        <f t="shared" si="15"/>
        <v>2932.7000000000003</v>
      </c>
      <c r="Z202">
        <f t="shared" si="16"/>
        <v>326.29999999999973</v>
      </c>
      <c r="AA202">
        <f t="shared" si="17"/>
        <v>14</v>
      </c>
      <c r="AB202" t="str">
        <f t="shared" si="18"/>
        <v>4458</v>
      </c>
      <c r="AC202" t="str">
        <f t="shared" si="19"/>
        <v>4141518</v>
      </c>
    </row>
    <row r="203" spans="1:29" x14ac:dyDescent="0.3">
      <c r="A203">
        <f>_xlfn.XLOOKUP(E203,Date_Dim!B:B,Date_Dim!A:A)</f>
        <v>182</v>
      </c>
      <c r="B203">
        <v>2023</v>
      </c>
      <c r="C203">
        <v>125</v>
      </c>
      <c r="D203">
        <v>2</v>
      </c>
      <c r="E203" s="1">
        <v>44041</v>
      </c>
      <c r="F203">
        <v>8</v>
      </c>
      <c r="G203" s="1">
        <v>44071</v>
      </c>
      <c r="H203" s="1">
        <v>44085</v>
      </c>
      <c r="I203">
        <v>1</v>
      </c>
      <c r="J203">
        <v>4</v>
      </c>
      <c r="K203">
        <v>1459</v>
      </c>
      <c r="L203">
        <v>8</v>
      </c>
      <c r="M203">
        <v>1800</v>
      </c>
      <c r="N203">
        <v>2</v>
      </c>
      <c r="O203">
        <v>1</v>
      </c>
      <c r="P203">
        <v>4</v>
      </c>
      <c r="Q203">
        <v>4</v>
      </c>
      <c r="R203">
        <v>4</v>
      </c>
      <c r="S203">
        <v>0</v>
      </c>
      <c r="T203">
        <v>5</v>
      </c>
      <c r="U203">
        <v>155</v>
      </c>
      <c r="V203">
        <v>977.70000000000016</v>
      </c>
      <c r="W203">
        <v>6</v>
      </c>
      <c r="X203">
        <v>3259</v>
      </c>
      <c r="Y203">
        <f t="shared" si="15"/>
        <v>2932.7000000000003</v>
      </c>
      <c r="Z203">
        <f t="shared" si="16"/>
        <v>326.29999999999973</v>
      </c>
      <c r="AA203">
        <f t="shared" si="17"/>
        <v>14</v>
      </c>
      <c r="AB203" t="str">
        <f t="shared" si="18"/>
        <v>4458</v>
      </c>
      <c r="AC203" t="str">
        <f t="shared" si="19"/>
        <v>4141518</v>
      </c>
    </row>
    <row r="204" spans="1:29" x14ac:dyDescent="0.3">
      <c r="A204">
        <f>_xlfn.XLOOKUP(E204,Date_Dim!B:B,Date_Dim!A:A)</f>
        <v>183</v>
      </c>
      <c r="B204">
        <v>2023</v>
      </c>
      <c r="C204">
        <v>126</v>
      </c>
      <c r="D204">
        <v>2</v>
      </c>
      <c r="E204" s="1">
        <v>44304</v>
      </c>
      <c r="F204">
        <v>9</v>
      </c>
      <c r="G204" s="1">
        <v>44334</v>
      </c>
      <c r="H204" s="1">
        <v>44390</v>
      </c>
      <c r="I204">
        <v>5</v>
      </c>
      <c r="J204">
        <v>3</v>
      </c>
      <c r="K204">
        <v>2699</v>
      </c>
      <c r="L204">
        <v>3</v>
      </c>
      <c r="M204">
        <v>3500</v>
      </c>
      <c r="N204">
        <v>12</v>
      </c>
      <c r="O204">
        <v>1</v>
      </c>
      <c r="P204">
        <v>1</v>
      </c>
      <c r="Q204">
        <v>1</v>
      </c>
      <c r="R204">
        <v>1</v>
      </c>
      <c r="S204">
        <v>0</v>
      </c>
      <c r="T204">
        <v>6</v>
      </c>
      <c r="U204">
        <v>120</v>
      </c>
      <c r="V204">
        <v>1859.7000000000003</v>
      </c>
      <c r="W204">
        <v>1</v>
      </c>
      <c r="X204">
        <v>6199</v>
      </c>
      <c r="Y204">
        <f t="shared" si="15"/>
        <v>5479.7000000000007</v>
      </c>
      <c r="Z204">
        <f t="shared" si="16"/>
        <v>719.29999999999927</v>
      </c>
      <c r="AA204">
        <f t="shared" si="17"/>
        <v>56</v>
      </c>
      <c r="AB204" t="str">
        <f t="shared" si="18"/>
        <v>1369</v>
      </c>
      <c r="AC204" t="str">
        <f t="shared" si="19"/>
        <v>1131619</v>
      </c>
    </row>
    <row r="205" spans="1:29" x14ac:dyDescent="0.3">
      <c r="A205">
        <f>_xlfn.XLOOKUP(E205,Date_Dim!B:B,Date_Dim!A:A)</f>
        <v>184</v>
      </c>
      <c r="B205">
        <v>2020</v>
      </c>
      <c r="C205">
        <v>126</v>
      </c>
      <c r="D205">
        <v>2</v>
      </c>
      <c r="E205" s="1">
        <v>44007</v>
      </c>
      <c r="F205">
        <v>24</v>
      </c>
      <c r="G205" s="1">
        <v>44037</v>
      </c>
      <c r="H205" s="1">
        <v>44079</v>
      </c>
      <c r="I205">
        <v>4</v>
      </c>
      <c r="J205">
        <v>3</v>
      </c>
      <c r="K205">
        <v>1999</v>
      </c>
      <c r="L205">
        <v>3</v>
      </c>
      <c r="M205">
        <v>3000</v>
      </c>
      <c r="N205">
        <v>12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2</v>
      </c>
      <c r="U205">
        <v>175</v>
      </c>
      <c r="V205">
        <v>1499.7000000000003</v>
      </c>
      <c r="W205">
        <v>2</v>
      </c>
      <c r="X205">
        <v>4999</v>
      </c>
      <c r="Y205">
        <f t="shared" si="15"/>
        <v>4674.7000000000007</v>
      </c>
      <c r="Z205">
        <f t="shared" si="16"/>
        <v>324.29999999999927</v>
      </c>
      <c r="AA205">
        <f t="shared" si="17"/>
        <v>42</v>
      </c>
      <c r="AB205" t="str">
        <f t="shared" si="18"/>
        <v>13224</v>
      </c>
      <c r="AC205" t="str">
        <f t="shared" si="19"/>
        <v>11312124</v>
      </c>
    </row>
    <row r="206" spans="1:29" x14ac:dyDescent="0.3">
      <c r="A206">
        <f>_xlfn.XLOOKUP(E206,Date_Dim!B:B,Date_Dim!A:A)</f>
        <v>185</v>
      </c>
      <c r="B206">
        <v>2021</v>
      </c>
      <c r="C206">
        <v>127</v>
      </c>
      <c r="D206">
        <v>2</v>
      </c>
      <c r="E206" s="1">
        <v>44777</v>
      </c>
      <c r="F206">
        <v>19</v>
      </c>
      <c r="G206" s="1">
        <v>44807</v>
      </c>
      <c r="H206" s="1">
        <v>44863</v>
      </c>
      <c r="I206">
        <v>5</v>
      </c>
      <c r="J206">
        <v>6</v>
      </c>
      <c r="K206">
        <v>2699</v>
      </c>
      <c r="L206">
        <v>8</v>
      </c>
      <c r="M206">
        <v>3200</v>
      </c>
      <c r="N206">
        <v>2</v>
      </c>
      <c r="O206">
        <v>1</v>
      </c>
      <c r="P206">
        <v>2</v>
      </c>
      <c r="Q206">
        <v>2</v>
      </c>
      <c r="R206">
        <v>2</v>
      </c>
      <c r="S206">
        <v>6000</v>
      </c>
      <c r="T206">
        <v>7</v>
      </c>
      <c r="U206">
        <v>25</v>
      </c>
      <c r="V206">
        <v>3569.7000000000007</v>
      </c>
      <c r="W206">
        <v>3</v>
      </c>
      <c r="X206">
        <v>11899</v>
      </c>
      <c r="Y206">
        <f t="shared" si="15"/>
        <v>6794.7000000000007</v>
      </c>
      <c r="Z206">
        <f t="shared" si="16"/>
        <v>5104.2999999999993</v>
      </c>
      <c r="AA206">
        <f t="shared" si="17"/>
        <v>56</v>
      </c>
      <c r="AB206" t="str">
        <f t="shared" si="18"/>
        <v>26719</v>
      </c>
      <c r="AC206" t="str">
        <f t="shared" si="19"/>
        <v>21617119</v>
      </c>
    </row>
    <row r="207" spans="1:29" x14ac:dyDescent="0.3">
      <c r="A207">
        <f>_xlfn.XLOOKUP(E207,Date_Dim!B:B,Date_Dim!A:A)</f>
        <v>186</v>
      </c>
      <c r="B207">
        <v>2024</v>
      </c>
      <c r="C207">
        <v>128</v>
      </c>
      <c r="D207">
        <v>2</v>
      </c>
      <c r="E207" s="1">
        <v>45182</v>
      </c>
      <c r="F207">
        <v>17</v>
      </c>
      <c r="G207" s="1">
        <v>45212</v>
      </c>
      <c r="H207" s="1">
        <v>45254</v>
      </c>
      <c r="I207">
        <v>4</v>
      </c>
      <c r="J207">
        <v>1</v>
      </c>
      <c r="K207">
        <v>1999</v>
      </c>
      <c r="L207">
        <v>12</v>
      </c>
      <c r="M207">
        <v>1500</v>
      </c>
      <c r="N207">
        <v>11</v>
      </c>
      <c r="O207">
        <v>1</v>
      </c>
      <c r="P207">
        <v>4</v>
      </c>
      <c r="Q207">
        <v>4</v>
      </c>
      <c r="R207">
        <v>4</v>
      </c>
      <c r="S207">
        <v>0</v>
      </c>
      <c r="T207">
        <v>1</v>
      </c>
      <c r="U207">
        <v>0</v>
      </c>
      <c r="V207">
        <v>1049.7</v>
      </c>
      <c r="W207">
        <v>1</v>
      </c>
      <c r="X207">
        <v>3499</v>
      </c>
      <c r="Y207">
        <f t="shared" si="15"/>
        <v>2549.6999999999998</v>
      </c>
      <c r="Z207">
        <f t="shared" si="16"/>
        <v>949.30000000000018</v>
      </c>
      <c r="AA207">
        <f t="shared" si="17"/>
        <v>42</v>
      </c>
      <c r="AB207" t="str">
        <f t="shared" si="18"/>
        <v>41117</v>
      </c>
      <c r="AC207" t="str">
        <f t="shared" si="19"/>
        <v>41111117</v>
      </c>
    </row>
    <row r="208" spans="1:29" x14ac:dyDescent="0.3">
      <c r="A208">
        <f>_xlfn.XLOOKUP(E208,Date_Dim!B:B,Date_Dim!A:A)</f>
        <v>187</v>
      </c>
      <c r="B208">
        <v>2021</v>
      </c>
      <c r="C208">
        <v>128</v>
      </c>
      <c r="D208">
        <v>2</v>
      </c>
      <c r="E208" s="1">
        <v>44901</v>
      </c>
      <c r="F208">
        <v>11</v>
      </c>
      <c r="G208" s="1">
        <v>44931</v>
      </c>
      <c r="H208" s="1">
        <v>44945</v>
      </c>
      <c r="I208">
        <v>1</v>
      </c>
      <c r="J208">
        <v>2</v>
      </c>
      <c r="K208">
        <v>1459</v>
      </c>
      <c r="L208">
        <v>10</v>
      </c>
      <c r="M208">
        <v>2000</v>
      </c>
      <c r="N208">
        <v>6</v>
      </c>
      <c r="O208">
        <v>1</v>
      </c>
      <c r="P208">
        <v>2</v>
      </c>
      <c r="Q208">
        <v>2</v>
      </c>
      <c r="R208">
        <v>2</v>
      </c>
      <c r="S208">
        <v>6000</v>
      </c>
      <c r="T208">
        <v>2</v>
      </c>
      <c r="U208">
        <v>175</v>
      </c>
      <c r="V208">
        <v>3783.6000000000004</v>
      </c>
      <c r="W208">
        <v>3</v>
      </c>
      <c r="X208">
        <v>9459</v>
      </c>
      <c r="Y208">
        <f t="shared" si="15"/>
        <v>5958.6</v>
      </c>
      <c r="Z208">
        <f t="shared" si="16"/>
        <v>3500.3999999999996</v>
      </c>
      <c r="AA208">
        <f t="shared" si="17"/>
        <v>14</v>
      </c>
      <c r="AB208" t="str">
        <f t="shared" si="18"/>
        <v>22211</v>
      </c>
      <c r="AC208" t="str">
        <f t="shared" si="19"/>
        <v>21212111</v>
      </c>
    </row>
    <row r="209" spans="1:29" x14ac:dyDescent="0.3">
      <c r="A209">
        <f>_xlfn.XLOOKUP(E209,Date_Dim!B:B,Date_Dim!A:A)</f>
        <v>188</v>
      </c>
      <c r="B209">
        <v>2022</v>
      </c>
      <c r="C209">
        <v>129</v>
      </c>
      <c r="D209">
        <v>1</v>
      </c>
      <c r="E209" s="1">
        <v>44417</v>
      </c>
      <c r="F209">
        <v>14</v>
      </c>
      <c r="G209" s="1">
        <v>44447</v>
      </c>
      <c r="H209" s="1">
        <v>44475</v>
      </c>
      <c r="I209">
        <v>3</v>
      </c>
      <c r="J209">
        <v>1</v>
      </c>
      <c r="K209">
        <v>1689</v>
      </c>
      <c r="L209">
        <v>12</v>
      </c>
      <c r="M209">
        <v>800</v>
      </c>
      <c r="N209">
        <v>11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746.70000000000016</v>
      </c>
      <c r="W209">
        <v>1</v>
      </c>
      <c r="X209">
        <v>2489</v>
      </c>
      <c r="Y209">
        <f t="shared" si="15"/>
        <v>1546.7000000000003</v>
      </c>
      <c r="Z209">
        <f t="shared" si="16"/>
        <v>942.29999999999973</v>
      </c>
      <c r="AA209">
        <f t="shared" si="17"/>
        <v>28</v>
      </c>
      <c r="AB209" t="str">
        <f t="shared" si="18"/>
        <v>11114</v>
      </c>
      <c r="AC209" t="str">
        <f t="shared" si="19"/>
        <v>11111114</v>
      </c>
    </row>
    <row r="210" spans="1:29" x14ac:dyDescent="0.3">
      <c r="A210">
        <f>_xlfn.XLOOKUP(E210,Date_Dim!B:B,Date_Dim!A:A)</f>
        <v>189</v>
      </c>
      <c r="B210">
        <v>2024</v>
      </c>
      <c r="C210">
        <v>129</v>
      </c>
      <c r="D210">
        <v>1</v>
      </c>
      <c r="E210" s="1">
        <v>44481</v>
      </c>
      <c r="F210">
        <v>5</v>
      </c>
      <c r="G210" s="1">
        <v>44511</v>
      </c>
      <c r="H210" s="1">
        <v>44567</v>
      </c>
      <c r="I210">
        <v>5</v>
      </c>
      <c r="J210">
        <v>4</v>
      </c>
      <c r="K210">
        <v>2699</v>
      </c>
      <c r="L210">
        <v>5</v>
      </c>
      <c r="M210">
        <v>5000</v>
      </c>
      <c r="N210">
        <v>8</v>
      </c>
      <c r="O210">
        <v>1</v>
      </c>
      <c r="P210">
        <v>3</v>
      </c>
      <c r="Q210">
        <v>3</v>
      </c>
      <c r="R210">
        <v>3</v>
      </c>
      <c r="S210">
        <v>2000</v>
      </c>
      <c r="T210">
        <v>4</v>
      </c>
      <c r="U210">
        <v>135</v>
      </c>
      <c r="V210">
        <v>3879.6000000000004</v>
      </c>
      <c r="W210">
        <v>7</v>
      </c>
      <c r="X210">
        <v>9699</v>
      </c>
      <c r="Y210">
        <f t="shared" si="15"/>
        <v>9014.6</v>
      </c>
      <c r="Z210">
        <f t="shared" si="16"/>
        <v>684.39999999999964</v>
      </c>
      <c r="AA210">
        <f t="shared" si="17"/>
        <v>56</v>
      </c>
      <c r="AB210" t="str">
        <f t="shared" si="18"/>
        <v>3445</v>
      </c>
      <c r="AC210" t="str">
        <f t="shared" si="19"/>
        <v>3141415</v>
      </c>
    </row>
    <row r="211" spans="1:29" x14ac:dyDescent="0.3">
      <c r="A211">
        <f>_xlfn.XLOOKUP(E211,Date_Dim!B:B,Date_Dim!A:A)</f>
        <v>190</v>
      </c>
      <c r="B211">
        <v>2021</v>
      </c>
      <c r="C211">
        <v>130</v>
      </c>
      <c r="D211">
        <v>1</v>
      </c>
      <c r="E211" s="1">
        <v>44141</v>
      </c>
      <c r="F211">
        <v>23</v>
      </c>
      <c r="G211" s="1">
        <v>44171</v>
      </c>
      <c r="H211" s="1">
        <v>44199</v>
      </c>
      <c r="I211">
        <v>3</v>
      </c>
      <c r="J211">
        <v>2</v>
      </c>
      <c r="K211">
        <v>1689</v>
      </c>
      <c r="L211">
        <v>2</v>
      </c>
      <c r="M211">
        <v>3000</v>
      </c>
      <c r="N211">
        <v>14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2</v>
      </c>
      <c r="U211">
        <v>175</v>
      </c>
      <c r="V211">
        <v>1875.6000000000001</v>
      </c>
      <c r="W211">
        <v>3</v>
      </c>
      <c r="X211">
        <v>4689</v>
      </c>
      <c r="Y211">
        <f t="shared" si="15"/>
        <v>5050.6000000000004</v>
      </c>
      <c r="Z211">
        <f t="shared" si="16"/>
        <v>-361.60000000000036</v>
      </c>
      <c r="AA211">
        <f t="shared" si="17"/>
        <v>28</v>
      </c>
      <c r="AB211" t="str">
        <f t="shared" si="18"/>
        <v>12223</v>
      </c>
      <c r="AC211" t="str">
        <f t="shared" si="19"/>
        <v>11212123</v>
      </c>
    </row>
    <row r="212" spans="1:29" x14ac:dyDescent="0.3">
      <c r="A212">
        <f>_xlfn.XLOOKUP(E212,Date_Dim!B:B,Date_Dim!A:A)</f>
        <v>191</v>
      </c>
      <c r="B212">
        <v>2024</v>
      </c>
      <c r="C212">
        <v>130</v>
      </c>
      <c r="D212">
        <v>1</v>
      </c>
      <c r="E212" s="1">
        <v>43944</v>
      </c>
      <c r="F212">
        <v>20</v>
      </c>
      <c r="G212" s="1">
        <v>43974</v>
      </c>
      <c r="H212" s="1">
        <v>43988</v>
      </c>
      <c r="I212">
        <v>1</v>
      </c>
      <c r="J212">
        <v>5</v>
      </c>
      <c r="K212">
        <v>1459</v>
      </c>
      <c r="L212">
        <v>13</v>
      </c>
      <c r="M212">
        <v>3500</v>
      </c>
      <c r="N212">
        <v>20</v>
      </c>
      <c r="O212">
        <v>1</v>
      </c>
      <c r="P212">
        <v>4</v>
      </c>
      <c r="Q212">
        <v>4</v>
      </c>
      <c r="R212">
        <v>4</v>
      </c>
      <c r="S212">
        <v>0</v>
      </c>
      <c r="T212">
        <v>5</v>
      </c>
      <c r="U212">
        <v>155</v>
      </c>
      <c r="V212">
        <v>1487.7000000000003</v>
      </c>
      <c r="W212">
        <v>8</v>
      </c>
      <c r="X212">
        <v>4959</v>
      </c>
      <c r="Y212">
        <f t="shared" si="15"/>
        <v>5142.7000000000007</v>
      </c>
      <c r="Z212">
        <f t="shared" si="16"/>
        <v>-183.70000000000073</v>
      </c>
      <c r="AA212">
        <f t="shared" si="17"/>
        <v>14</v>
      </c>
      <c r="AB212" t="str">
        <f t="shared" si="18"/>
        <v>45520</v>
      </c>
      <c r="AC212" t="str">
        <f t="shared" si="19"/>
        <v>41515120</v>
      </c>
    </row>
    <row r="213" spans="1:29" x14ac:dyDescent="0.3">
      <c r="A213">
        <f>_xlfn.XLOOKUP(E213,Date_Dim!B:B,Date_Dim!A:A)</f>
        <v>192</v>
      </c>
      <c r="B213">
        <v>2020</v>
      </c>
      <c r="C213">
        <v>131</v>
      </c>
      <c r="D213">
        <v>1</v>
      </c>
      <c r="E213" s="1">
        <v>45219</v>
      </c>
      <c r="F213">
        <v>3</v>
      </c>
      <c r="G213" s="1">
        <v>45249</v>
      </c>
      <c r="H213" s="1">
        <v>45277</v>
      </c>
      <c r="I213">
        <v>3</v>
      </c>
      <c r="J213">
        <v>3</v>
      </c>
      <c r="K213">
        <v>1689</v>
      </c>
      <c r="L213">
        <v>3</v>
      </c>
      <c r="M213">
        <v>2000</v>
      </c>
      <c r="N213">
        <v>12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2</v>
      </c>
      <c r="U213">
        <v>175</v>
      </c>
      <c r="V213">
        <v>1475.6000000000001</v>
      </c>
      <c r="W213">
        <v>2</v>
      </c>
      <c r="X213">
        <v>3689</v>
      </c>
      <c r="Y213">
        <f t="shared" si="15"/>
        <v>3650.6000000000004</v>
      </c>
      <c r="Z213">
        <f t="shared" si="16"/>
        <v>38.399999999999636</v>
      </c>
      <c r="AA213">
        <f t="shared" si="17"/>
        <v>28</v>
      </c>
      <c r="AB213" t="str">
        <f t="shared" si="18"/>
        <v>1323</v>
      </c>
      <c r="AC213" t="str">
        <f t="shared" si="19"/>
        <v>1131213</v>
      </c>
    </row>
    <row r="214" spans="1:29" x14ac:dyDescent="0.3">
      <c r="A214">
        <f>_xlfn.XLOOKUP(E214,Date_Dim!B:B,Date_Dim!A:A)</f>
        <v>193</v>
      </c>
      <c r="B214">
        <v>2023</v>
      </c>
      <c r="C214">
        <v>131</v>
      </c>
      <c r="D214">
        <v>1</v>
      </c>
      <c r="E214" s="1">
        <v>44926</v>
      </c>
      <c r="F214">
        <v>24</v>
      </c>
      <c r="G214" s="1">
        <v>44956</v>
      </c>
      <c r="H214" s="1">
        <v>44998</v>
      </c>
      <c r="I214">
        <v>4</v>
      </c>
      <c r="J214">
        <v>3</v>
      </c>
      <c r="K214">
        <v>1999</v>
      </c>
      <c r="L214">
        <v>3</v>
      </c>
      <c r="M214">
        <v>3000</v>
      </c>
      <c r="N214">
        <v>12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2</v>
      </c>
      <c r="U214">
        <v>175</v>
      </c>
      <c r="V214">
        <v>1499.7000000000003</v>
      </c>
      <c r="W214">
        <v>1</v>
      </c>
      <c r="X214">
        <v>4999</v>
      </c>
      <c r="Y214">
        <f t="shared" si="15"/>
        <v>4674.7000000000007</v>
      </c>
      <c r="Z214">
        <f t="shared" si="16"/>
        <v>324.29999999999927</v>
      </c>
      <c r="AA214">
        <f t="shared" si="17"/>
        <v>42</v>
      </c>
      <c r="AB214" t="str">
        <f t="shared" si="18"/>
        <v>13224</v>
      </c>
      <c r="AC214" t="str">
        <f t="shared" si="19"/>
        <v>11312124</v>
      </c>
    </row>
    <row r="215" spans="1:29" x14ac:dyDescent="0.3">
      <c r="A215">
        <f>_xlfn.XLOOKUP(E215,Date_Dim!B:B,Date_Dim!A:A)</f>
        <v>194</v>
      </c>
      <c r="B215">
        <v>2021</v>
      </c>
      <c r="C215">
        <v>132</v>
      </c>
      <c r="D215">
        <v>1</v>
      </c>
      <c r="E215" s="1">
        <v>43968</v>
      </c>
      <c r="F215">
        <v>15</v>
      </c>
      <c r="G215" s="1">
        <v>43998</v>
      </c>
      <c r="H215" s="1">
        <v>44026</v>
      </c>
      <c r="I215">
        <v>3</v>
      </c>
      <c r="J215">
        <v>2</v>
      </c>
      <c r="K215">
        <v>1689</v>
      </c>
      <c r="L215">
        <v>10</v>
      </c>
      <c r="M215">
        <v>2500</v>
      </c>
      <c r="N215">
        <v>6</v>
      </c>
      <c r="O215">
        <v>1</v>
      </c>
      <c r="P215">
        <v>2</v>
      </c>
      <c r="Q215">
        <v>2</v>
      </c>
      <c r="R215">
        <v>2</v>
      </c>
      <c r="S215">
        <v>6000</v>
      </c>
      <c r="T215">
        <v>2</v>
      </c>
      <c r="U215">
        <v>175</v>
      </c>
      <c r="V215">
        <v>3056.7000000000003</v>
      </c>
      <c r="W215">
        <v>3</v>
      </c>
      <c r="X215">
        <v>10189</v>
      </c>
      <c r="Y215">
        <f t="shared" si="15"/>
        <v>5731.7000000000007</v>
      </c>
      <c r="Z215">
        <f t="shared" si="16"/>
        <v>4457.2999999999993</v>
      </c>
      <c r="AA215">
        <f t="shared" si="17"/>
        <v>28</v>
      </c>
      <c r="AB215" t="str">
        <f t="shared" si="18"/>
        <v>22215</v>
      </c>
      <c r="AC215" t="str">
        <f t="shared" si="19"/>
        <v>21212115</v>
      </c>
    </row>
    <row r="216" spans="1:29" x14ac:dyDescent="0.3">
      <c r="A216">
        <f>_xlfn.XLOOKUP(E216,Date_Dim!B:B,Date_Dim!A:A)</f>
        <v>195</v>
      </c>
      <c r="B216">
        <v>2024</v>
      </c>
      <c r="C216">
        <v>132</v>
      </c>
      <c r="D216">
        <v>1</v>
      </c>
      <c r="E216" s="1">
        <v>43899</v>
      </c>
      <c r="F216">
        <v>21</v>
      </c>
      <c r="G216" s="1">
        <v>43929</v>
      </c>
      <c r="H216" s="1">
        <v>43971</v>
      </c>
      <c r="I216">
        <v>4</v>
      </c>
      <c r="J216">
        <v>1</v>
      </c>
      <c r="K216">
        <v>1999</v>
      </c>
      <c r="L216">
        <v>5</v>
      </c>
      <c r="M216">
        <v>3200</v>
      </c>
      <c r="N216">
        <v>8</v>
      </c>
      <c r="O216">
        <v>1</v>
      </c>
      <c r="P216">
        <v>4</v>
      </c>
      <c r="Q216">
        <v>4</v>
      </c>
      <c r="R216">
        <v>4</v>
      </c>
      <c r="S216">
        <v>0</v>
      </c>
      <c r="T216">
        <v>8</v>
      </c>
      <c r="U216">
        <v>80</v>
      </c>
      <c r="V216">
        <v>2079.6</v>
      </c>
      <c r="W216">
        <v>8</v>
      </c>
      <c r="X216">
        <v>5199</v>
      </c>
      <c r="Y216">
        <f t="shared" si="15"/>
        <v>5359.6</v>
      </c>
      <c r="Z216">
        <f t="shared" si="16"/>
        <v>-160.60000000000036</v>
      </c>
      <c r="AA216">
        <f t="shared" si="17"/>
        <v>42</v>
      </c>
      <c r="AB216" t="str">
        <f t="shared" si="18"/>
        <v>41821</v>
      </c>
      <c r="AC216" t="str">
        <f t="shared" si="19"/>
        <v>41118121</v>
      </c>
    </row>
    <row r="217" spans="1:29" x14ac:dyDescent="0.3">
      <c r="A217">
        <f>_xlfn.XLOOKUP(E217,Date_Dim!B:B,Date_Dim!A:A)</f>
        <v>196</v>
      </c>
      <c r="B217">
        <v>2022</v>
      </c>
      <c r="C217">
        <v>133</v>
      </c>
      <c r="D217">
        <v>1</v>
      </c>
      <c r="E217" s="1">
        <v>45124</v>
      </c>
      <c r="F217">
        <v>15</v>
      </c>
      <c r="G217" s="1">
        <v>45154</v>
      </c>
      <c r="H217" s="1">
        <v>45182</v>
      </c>
      <c r="I217">
        <v>3</v>
      </c>
      <c r="J217">
        <v>2</v>
      </c>
      <c r="K217">
        <v>1689</v>
      </c>
      <c r="L217">
        <v>10</v>
      </c>
      <c r="M217">
        <v>2500</v>
      </c>
      <c r="N217">
        <v>6</v>
      </c>
      <c r="O217">
        <v>1</v>
      </c>
      <c r="P217">
        <v>2</v>
      </c>
      <c r="Q217">
        <v>2</v>
      </c>
      <c r="R217">
        <v>2</v>
      </c>
      <c r="S217">
        <v>6000</v>
      </c>
      <c r="T217">
        <v>2</v>
      </c>
      <c r="U217">
        <v>175</v>
      </c>
      <c r="V217">
        <v>4075.6000000000004</v>
      </c>
      <c r="W217">
        <v>3</v>
      </c>
      <c r="X217">
        <v>10189</v>
      </c>
      <c r="Y217">
        <f t="shared" si="15"/>
        <v>6750.6</v>
      </c>
      <c r="Z217">
        <f t="shared" si="16"/>
        <v>3438.3999999999996</v>
      </c>
      <c r="AA217">
        <f t="shared" si="17"/>
        <v>28</v>
      </c>
      <c r="AB217" t="str">
        <f t="shared" si="18"/>
        <v>22215</v>
      </c>
      <c r="AC217" t="str">
        <f t="shared" si="19"/>
        <v>21212115</v>
      </c>
    </row>
    <row r="218" spans="1:29" x14ac:dyDescent="0.3">
      <c r="A218">
        <f>_xlfn.XLOOKUP(E218,Date_Dim!B:B,Date_Dim!A:A)</f>
        <v>197</v>
      </c>
      <c r="B218">
        <v>2024</v>
      </c>
      <c r="C218">
        <v>133</v>
      </c>
      <c r="D218">
        <v>1</v>
      </c>
      <c r="E218" s="1">
        <v>44638</v>
      </c>
      <c r="F218">
        <v>5</v>
      </c>
      <c r="G218" s="1">
        <v>44668</v>
      </c>
      <c r="H218" s="1">
        <v>44724</v>
      </c>
      <c r="I218">
        <v>5</v>
      </c>
      <c r="J218">
        <v>4</v>
      </c>
      <c r="K218">
        <v>2699</v>
      </c>
      <c r="L218">
        <v>5</v>
      </c>
      <c r="M218">
        <v>5000</v>
      </c>
      <c r="N218">
        <v>8</v>
      </c>
      <c r="O218">
        <v>1</v>
      </c>
      <c r="P218">
        <v>5</v>
      </c>
      <c r="Q218">
        <v>5</v>
      </c>
      <c r="R218">
        <v>5</v>
      </c>
      <c r="S218">
        <v>8000</v>
      </c>
      <c r="T218">
        <v>3</v>
      </c>
      <c r="U218">
        <v>125</v>
      </c>
      <c r="V218">
        <v>6279.6</v>
      </c>
      <c r="W218">
        <v>4</v>
      </c>
      <c r="X218">
        <v>15699</v>
      </c>
      <c r="Y218">
        <f t="shared" si="15"/>
        <v>11404.6</v>
      </c>
      <c r="Z218">
        <f t="shared" si="16"/>
        <v>4294.3999999999996</v>
      </c>
      <c r="AA218">
        <f t="shared" si="17"/>
        <v>56</v>
      </c>
      <c r="AB218" t="str">
        <f t="shared" si="18"/>
        <v>5435</v>
      </c>
      <c r="AC218" t="str">
        <f t="shared" si="19"/>
        <v>5141315</v>
      </c>
    </row>
    <row r="219" spans="1:29" x14ac:dyDescent="0.3">
      <c r="A219">
        <f>_xlfn.XLOOKUP(E219,Date_Dim!B:B,Date_Dim!A:A)</f>
        <v>198</v>
      </c>
      <c r="B219">
        <v>2024</v>
      </c>
      <c r="C219">
        <v>134</v>
      </c>
      <c r="D219">
        <v>1</v>
      </c>
      <c r="E219" s="1">
        <v>45336</v>
      </c>
      <c r="F219">
        <v>24</v>
      </c>
      <c r="G219" s="1">
        <v>45366</v>
      </c>
      <c r="H219" s="1">
        <v>45408</v>
      </c>
      <c r="I219">
        <v>4</v>
      </c>
      <c r="J219">
        <v>3</v>
      </c>
      <c r="K219">
        <v>1999</v>
      </c>
      <c r="L219">
        <v>3</v>
      </c>
      <c r="M219">
        <v>3000</v>
      </c>
      <c r="N219">
        <v>12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6</v>
      </c>
      <c r="U219">
        <v>120</v>
      </c>
      <c r="V219">
        <v>1499.7000000000003</v>
      </c>
      <c r="W219">
        <v>1</v>
      </c>
      <c r="X219">
        <v>4999</v>
      </c>
      <c r="Y219">
        <f t="shared" si="15"/>
        <v>4619.7000000000007</v>
      </c>
      <c r="Z219">
        <f t="shared" si="16"/>
        <v>379.29999999999927</v>
      </c>
      <c r="AA219">
        <f t="shared" si="17"/>
        <v>42</v>
      </c>
      <c r="AB219" t="str">
        <f t="shared" si="18"/>
        <v>13624</v>
      </c>
      <c r="AC219" t="str">
        <f t="shared" si="19"/>
        <v>11316124</v>
      </c>
    </row>
    <row r="220" spans="1:29" x14ac:dyDescent="0.3">
      <c r="A220">
        <f>_xlfn.XLOOKUP(E220,Date_Dim!B:B,Date_Dim!A:A)</f>
        <v>199</v>
      </c>
      <c r="B220">
        <v>2021</v>
      </c>
      <c r="C220">
        <v>134</v>
      </c>
      <c r="D220">
        <v>1</v>
      </c>
      <c r="E220" s="1">
        <v>44065</v>
      </c>
      <c r="F220">
        <v>6</v>
      </c>
      <c r="G220" s="1">
        <v>44095</v>
      </c>
      <c r="H220" s="1">
        <v>44137</v>
      </c>
      <c r="I220">
        <v>4</v>
      </c>
      <c r="J220">
        <v>4</v>
      </c>
      <c r="K220">
        <v>1999</v>
      </c>
      <c r="L220">
        <v>6</v>
      </c>
      <c r="M220">
        <v>3000</v>
      </c>
      <c r="N220">
        <v>9</v>
      </c>
      <c r="O220">
        <v>1</v>
      </c>
      <c r="P220">
        <v>3</v>
      </c>
      <c r="Q220">
        <v>3</v>
      </c>
      <c r="R220">
        <v>3</v>
      </c>
      <c r="S220">
        <v>2000</v>
      </c>
      <c r="T220">
        <v>4</v>
      </c>
      <c r="U220">
        <v>135</v>
      </c>
      <c r="V220">
        <v>2099.7000000000003</v>
      </c>
      <c r="W220">
        <v>7</v>
      </c>
      <c r="X220">
        <v>6999</v>
      </c>
      <c r="Y220">
        <f t="shared" si="15"/>
        <v>5234.7000000000007</v>
      </c>
      <c r="Z220">
        <f t="shared" si="16"/>
        <v>1764.2999999999993</v>
      </c>
      <c r="AA220">
        <f t="shared" si="17"/>
        <v>42</v>
      </c>
      <c r="AB220" t="str">
        <f t="shared" si="18"/>
        <v>3446</v>
      </c>
      <c r="AC220" t="str">
        <f t="shared" si="19"/>
        <v>3141416</v>
      </c>
    </row>
    <row r="221" spans="1:29" x14ac:dyDescent="0.3">
      <c r="A221">
        <f>_xlfn.XLOOKUP(E221,Date_Dim!B:B,Date_Dim!A:A)</f>
        <v>34</v>
      </c>
      <c r="B221">
        <v>2023</v>
      </c>
      <c r="C221">
        <v>135</v>
      </c>
      <c r="D221">
        <v>1</v>
      </c>
      <c r="E221" s="1">
        <v>44488</v>
      </c>
      <c r="F221">
        <v>7</v>
      </c>
      <c r="G221" s="1">
        <v>44518</v>
      </c>
      <c r="H221" s="1">
        <v>44539</v>
      </c>
      <c r="I221">
        <v>2</v>
      </c>
      <c r="J221">
        <v>3</v>
      </c>
      <c r="K221">
        <v>1559</v>
      </c>
      <c r="L221">
        <v>7</v>
      </c>
      <c r="M221">
        <v>1500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2</v>
      </c>
      <c r="U221">
        <v>175</v>
      </c>
      <c r="V221">
        <v>917.70000000000016</v>
      </c>
      <c r="W221">
        <v>2</v>
      </c>
      <c r="X221">
        <v>3059</v>
      </c>
      <c r="Y221">
        <f t="shared" si="15"/>
        <v>2592.7000000000003</v>
      </c>
      <c r="Z221">
        <f t="shared" si="16"/>
        <v>466.29999999999973</v>
      </c>
      <c r="AA221">
        <f t="shared" si="17"/>
        <v>21</v>
      </c>
      <c r="AB221" t="str">
        <f t="shared" si="18"/>
        <v>1327</v>
      </c>
      <c r="AC221" t="str">
        <f t="shared" si="19"/>
        <v>1131217</v>
      </c>
    </row>
    <row r="222" spans="1:29" x14ac:dyDescent="0.3">
      <c r="A222">
        <f>_xlfn.XLOOKUP(E222,Date_Dim!B:B,Date_Dim!A:A)</f>
        <v>200</v>
      </c>
      <c r="B222">
        <v>2020</v>
      </c>
      <c r="C222">
        <v>135</v>
      </c>
      <c r="D222">
        <v>1</v>
      </c>
      <c r="E222" s="1">
        <v>45388</v>
      </c>
      <c r="F222">
        <v>23</v>
      </c>
      <c r="G222" s="1">
        <v>45418</v>
      </c>
      <c r="H222" s="1">
        <v>45446</v>
      </c>
      <c r="I222">
        <v>3</v>
      </c>
      <c r="J222">
        <v>2</v>
      </c>
      <c r="K222">
        <v>1689</v>
      </c>
      <c r="L222">
        <v>2</v>
      </c>
      <c r="M222">
        <v>3000</v>
      </c>
      <c r="N222">
        <v>14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2</v>
      </c>
      <c r="U222">
        <v>175</v>
      </c>
      <c r="V222">
        <v>1875.6000000000001</v>
      </c>
      <c r="W222">
        <v>3</v>
      </c>
      <c r="X222">
        <v>4689</v>
      </c>
      <c r="Y222">
        <f t="shared" si="15"/>
        <v>5050.6000000000004</v>
      </c>
      <c r="Z222">
        <f t="shared" si="16"/>
        <v>-361.60000000000036</v>
      </c>
      <c r="AA222">
        <f t="shared" si="17"/>
        <v>28</v>
      </c>
      <c r="AB222" t="str">
        <f t="shared" si="18"/>
        <v>12223</v>
      </c>
      <c r="AC222" t="str">
        <f t="shared" si="19"/>
        <v>11212123</v>
      </c>
    </row>
    <row r="223" spans="1:29" x14ac:dyDescent="0.3">
      <c r="A223">
        <f>_xlfn.XLOOKUP(E223,Date_Dim!B:B,Date_Dim!A:A)</f>
        <v>47</v>
      </c>
      <c r="B223">
        <v>2022</v>
      </c>
      <c r="C223">
        <v>136</v>
      </c>
      <c r="D223">
        <v>1</v>
      </c>
      <c r="E223" s="1">
        <v>45149</v>
      </c>
      <c r="F223">
        <v>15</v>
      </c>
      <c r="G223" s="1">
        <v>45179</v>
      </c>
      <c r="H223" s="1">
        <v>45207</v>
      </c>
      <c r="I223">
        <v>3</v>
      </c>
      <c r="J223">
        <v>2</v>
      </c>
      <c r="K223">
        <v>1689</v>
      </c>
      <c r="L223">
        <v>10</v>
      </c>
      <c r="M223">
        <v>2500</v>
      </c>
      <c r="N223">
        <v>6</v>
      </c>
      <c r="O223">
        <v>1</v>
      </c>
      <c r="P223">
        <v>2</v>
      </c>
      <c r="Q223">
        <v>2</v>
      </c>
      <c r="R223">
        <v>2</v>
      </c>
      <c r="S223">
        <v>6000</v>
      </c>
      <c r="T223">
        <v>2</v>
      </c>
      <c r="U223">
        <v>175</v>
      </c>
      <c r="V223">
        <v>4075.6000000000004</v>
      </c>
      <c r="W223">
        <v>3</v>
      </c>
      <c r="X223">
        <v>10189</v>
      </c>
      <c r="Y223">
        <f t="shared" si="15"/>
        <v>6750.6</v>
      </c>
      <c r="Z223">
        <f t="shared" si="16"/>
        <v>3438.3999999999996</v>
      </c>
      <c r="AA223">
        <f t="shared" si="17"/>
        <v>28</v>
      </c>
      <c r="AB223" t="str">
        <f t="shared" si="18"/>
        <v>22215</v>
      </c>
      <c r="AC223" t="str">
        <f t="shared" si="19"/>
        <v>21212115</v>
      </c>
    </row>
    <row r="224" spans="1:29" x14ac:dyDescent="0.3">
      <c r="A224">
        <f>_xlfn.XLOOKUP(E224,Date_Dim!B:B,Date_Dim!A:A)</f>
        <v>96</v>
      </c>
      <c r="B224">
        <v>2024</v>
      </c>
      <c r="C224">
        <v>136</v>
      </c>
      <c r="D224">
        <v>1</v>
      </c>
      <c r="E224" s="1">
        <v>45500</v>
      </c>
      <c r="F224">
        <v>13</v>
      </c>
      <c r="G224" s="1">
        <v>45530</v>
      </c>
      <c r="H224" s="1">
        <v>45551</v>
      </c>
      <c r="I224">
        <v>2</v>
      </c>
      <c r="J224">
        <v>6</v>
      </c>
      <c r="K224">
        <v>1559</v>
      </c>
      <c r="L224">
        <v>11</v>
      </c>
      <c r="M224">
        <v>2500</v>
      </c>
      <c r="N224">
        <v>7</v>
      </c>
      <c r="O224">
        <v>1</v>
      </c>
      <c r="P224">
        <v>2</v>
      </c>
      <c r="Q224">
        <v>2</v>
      </c>
      <c r="R224">
        <v>2</v>
      </c>
      <c r="S224">
        <v>6000</v>
      </c>
      <c r="T224">
        <v>7</v>
      </c>
      <c r="U224">
        <v>25</v>
      </c>
      <c r="V224">
        <v>3017.7000000000003</v>
      </c>
      <c r="W224">
        <v>3</v>
      </c>
      <c r="X224">
        <v>10059</v>
      </c>
      <c r="Y224">
        <f t="shared" si="15"/>
        <v>5542.7000000000007</v>
      </c>
      <c r="Z224">
        <f t="shared" si="16"/>
        <v>4516.2999999999993</v>
      </c>
      <c r="AA224">
        <f t="shared" si="17"/>
        <v>21</v>
      </c>
      <c r="AB224" t="str">
        <f t="shared" si="18"/>
        <v>26713</v>
      </c>
      <c r="AC224" t="str">
        <f t="shared" si="19"/>
        <v>21617113</v>
      </c>
    </row>
    <row r="225" spans="1:29" x14ac:dyDescent="0.3">
      <c r="A225">
        <f>_xlfn.XLOOKUP(E225,Date_Dim!B:B,Date_Dim!A:A)</f>
        <v>201</v>
      </c>
      <c r="B225">
        <v>2024</v>
      </c>
      <c r="C225">
        <v>137</v>
      </c>
      <c r="D225">
        <v>1</v>
      </c>
      <c r="E225" s="1">
        <v>45584</v>
      </c>
      <c r="F225">
        <v>16</v>
      </c>
      <c r="G225" s="1">
        <v>45614</v>
      </c>
      <c r="H225" s="1">
        <v>45670</v>
      </c>
      <c r="I225">
        <v>5</v>
      </c>
      <c r="J225">
        <v>6</v>
      </c>
      <c r="K225">
        <v>2699</v>
      </c>
      <c r="L225">
        <v>11</v>
      </c>
      <c r="M225">
        <v>3000</v>
      </c>
      <c r="N225">
        <v>7</v>
      </c>
      <c r="O225">
        <v>2</v>
      </c>
      <c r="P225">
        <v>2</v>
      </c>
      <c r="Q225">
        <v>2</v>
      </c>
      <c r="R225">
        <v>2</v>
      </c>
      <c r="S225">
        <v>6000</v>
      </c>
      <c r="T225">
        <v>7</v>
      </c>
      <c r="U225">
        <v>25</v>
      </c>
      <c r="V225">
        <v>4679.6000000000004</v>
      </c>
      <c r="W225">
        <v>3</v>
      </c>
      <c r="X225">
        <v>11699</v>
      </c>
      <c r="Y225">
        <f t="shared" si="15"/>
        <v>7704.6</v>
      </c>
      <c r="Z225">
        <f t="shared" si="16"/>
        <v>3994.3999999999996</v>
      </c>
      <c r="AA225">
        <f t="shared" si="17"/>
        <v>56</v>
      </c>
      <c r="AB225" t="str">
        <f t="shared" si="18"/>
        <v>26716</v>
      </c>
      <c r="AC225" t="str">
        <f t="shared" si="19"/>
        <v>21617116</v>
      </c>
    </row>
    <row r="226" spans="1:29" x14ac:dyDescent="0.3">
      <c r="A226">
        <f>_xlfn.XLOOKUP(E226,Date_Dim!B:B,Date_Dim!A:A)</f>
        <v>202</v>
      </c>
      <c r="B226">
        <v>2022</v>
      </c>
      <c r="C226">
        <v>137</v>
      </c>
      <c r="D226">
        <v>1</v>
      </c>
      <c r="E226" s="1">
        <v>44910</v>
      </c>
      <c r="F226">
        <v>23</v>
      </c>
      <c r="G226" s="1">
        <v>44940</v>
      </c>
      <c r="H226" s="1">
        <v>44968</v>
      </c>
      <c r="I226">
        <v>3</v>
      </c>
      <c r="J226">
        <v>2</v>
      </c>
      <c r="K226">
        <v>1689</v>
      </c>
      <c r="L226">
        <v>2</v>
      </c>
      <c r="M226">
        <v>3000</v>
      </c>
      <c r="N226">
        <v>14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2</v>
      </c>
      <c r="U226">
        <v>175</v>
      </c>
      <c r="V226">
        <v>1875.6000000000001</v>
      </c>
      <c r="W226">
        <v>3</v>
      </c>
      <c r="X226">
        <v>4689</v>
      </c>
      <c r="Y226">
        <f t="shared" si="15"/>
        <v>5050.6000000000004</v>
      </c>
      <c r="Z226">
        <f t="shared" si="16"/>
        <v>-361.60000000000036</v>
      </c>
      <c r="AA226">
        <f t="shared" si="17"/>
        <v>28</v>
      </c>
      <c r="AB226" t="str">
        <f t="shared" si="18"/>
        <v>12223</v>
      </c>
      <c r="AC226" t="str">
        <f t="shared" si="19"/>
        <v>11212123</v>
      </c>
    </row>
    <row r="227" spans="1:29" x14ac:dyDescent="0.3">
      <c r="A227">
        <f>_xlfn.XLOOKUP(E227,Date_Dim!B:B,Date_Dim!A:A)</f>
        <v>203</v>
      </c>
      <c r="B227">
        <v>2023</v>
      </c>
      <c r="C227">
        <v>138</v>
      </c>
      <c r="D227">
        <v>1</v>
      </c>
      <c r="E227" s="1">
        <v>45012</v>
      </c>
      <c r="F227">
        <v>15</v>
      </c>
      <c r="G227" s="1">
        <v>45042</v>
      </c>
      <c r="H227" s="1">
        <v>45070</v>
      </c>
      <c r="I227">
        <v>3</v>
      </c>
      <c r="J227">
        <v>2</v>
      </c>
      <c r="K227">
        <v>1689</v>
      </c>
      <c r="L227">
        <v>10</v>
      </c>
      <c r="M227">
        <v>2500</v>
      </c>
      <c r="N227">
        <v>6</v>
      </c>
      <c r="O227">
        <v>1</v>
      </c>
      <c r="P227">
        <v>2</v>
      </c>
      <c r="Q227">
        <v>2</v>
      </c>
      <c r="R227">
        <v>2</v>
      </c>
      <c r="S227">
        <v>6000</v>
      </c>
      <c r="T227">
        <v>2</v>
      </c>
      <c r="U227">
        <v>175</v>
      </c>
      <c r="V227">
        <v>3056.7000000000003</v>
      </c>
      <c r="W227">
        <v>3</v>
      </c>
      <c r="X227">
        <v>10189</v>
      </c>
      <c r="Y227">
        <f t="shared" si="15"/>
        <v>5731.7000000000007</v>
      </c>
      <c r="Z227">
        <f t="shared" si="16"/>
        <v>4457.2999999999993</v>
      </c>
      <c r="AA227">
        <f t="shared" si="17"/>
        <v>28</v>
      </c>
      <c r="AB227" t="str">
        <f t="shared" si="18"/>
        <v>22215</v>
      </c>
      <c r="AC227" t="str">
        <f t="shared" si="19"/>
        <v>21212115</v>
      </c>
    </row>
    <row r="228" spans="1:29" x14ac:dyDescent="0.3">
      <c r="A228">
        <f>_xlfn.XLOOKUP(E228,Date_Dim!B:B,Date_Dim!A:A)</f>
        <v>204</v>
      </c>
      <c r="B228">
        <v>2020</v>
      </c>
      <c r="C228">
        <v>138</v>
      </c>
      <c r="D228">
        <v>1</v>
      </c>
      <c r="E228" s="1">
        <v>44205</v>
      </c>
      <c r="F228">
        <v>16</v>
      </c>
      <c r="G228" s="1">
        <v>44235</v>
      </c>
      <c r="H228" s="1">
        <v>44291</v>
      </c>
      <c r="I228">
        <v>5</v>
      </c>
      <c r="J228">
        <v>6</v>
      </c>
      <c r="K228">
        <v>2699</v>
      </c>
      <c r="L228">
        <v>11</v>
      </c>
      <c r="M228">
        <v>3000</v>
      </c>
      <c r="N228">
        <v>7</v>
      </c>
      <c r="O228">
        <v>1</v>
      </c>
      <c r="P228">
        <v>2</v>
      </c>
      <c r="Q228">
        <v>2</v>
      </c>
      <c r="R228">
        <v>2</v>
      </c>
      <c r="S228">
        <v>6000</v>
      </c>
      <c r="T228">
        <v>7</v>
      </c>
      <c r="U228">
        <v>25</v>
      </c>
      <c r="V228">
        <v>3509.7000000000007</v>
      </c>
      <c r="W228">
        <v>3</v>
      </c>
      <c r="X228">
        <v>11699</v>
      </c>
      <c r="Y228">
        <f t="shared" si="15"/>
        <v>6534.7000000000007</v>
      </c>
      <c r="Z228">
        <f t="shared" si="16"/>
        <v>5164.2999999999993</v>
      </c>
      <c r="AA228">
        <f t="shared" si="17"/>
        <v>56</v>
      </c>
      <c r="AB228" t="str">
        <f t="shared" si="18"/>
        <v>26716</v>
      </c>
      <c r="AC228" t="str">
        <f t="shared" si="19"/>
        <v>21617116</v>
      </c>
    </row>
    <row r="229" spans="1:29" x14ac:dyDescent="0.3">
      <c r="A229">
        <f>_xlfn.XLOOKUP(E229,Date_Dim!B:B,Date_Dim!A:A)</f>
        <v>205</v>
      </c>
      <c r="B229">
        <v>2022</v>
      </c>
      <c r="C229">
        <v>139</v>
      </c>
      <c r="D229">
        <v>1</v>
      </c>
      <c r="E229" s="1">
        <v>43921</v>
      </c>
      <c r="F229">
        <v>17</v>
      </c>
      <c r="G229" s="1">
        <v>43951</v>
      </c>
      <c r="H229" s="1">
        <v>43993</v>
      </c>
      <c r="I229">
        <v>4</v>
      </c>
      <c r="J229">
        <v>1</v>
      </c>
      <c r="K229">
        <v>1999</v>
      </c>
      <c r="L229">
        <v>12</v>
      </c>
      <c r="M229">
        <v>1500</v>
      </c>
      <c r="N229">
        <v>11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1049.7</v>
      </c>
      <c r="W229">
        <v>1</v>
      </c>
      <c r="X229">
        <v>3499</v>
      </c>
      <c r="Y229">
        <f t="shared" si="15"/>
        <v>2549.6999999999998</v>
      </c>
      <c r="Z229">
        <f t="shared" si="16"/>
        <v>949.30000000000018</v>
      </c>
      <c r="AA229">
        <f t="shared" si="17"/>
        <v>42</v>
      </c>
      <c r="AB229" t="str">
        <f t="shared" si="18"/>
        <v>11117</v>
      </c>
      <c r="AC229" t="str">
        <f t="shared" si="19"/>
        <v>11111117</v>
      </c>
    </row>
    <row r="230" spans="1:29" x14ac:dyDescent="0.3">
      <c r="A230">
        <f>_xlfn.XLOOKUP(E230,Date_Dim!B:B,Date_Dim!A:A)</f>
        <v>137</v>
      </c>
      <c r="B230">
        <v>2024</v>
      </c>
      <c r="C230">
        <v>139</v>
      </c>
      <c r="D230">
        <v>1</v>
      </c>
      <c r="E230" s="1">
        <v>45269</v>
      </c>
      <c r="F230">
        <v>5</v>
      </c>
      <c r="G230" s="1">
        <v>45299</v>
      </c>
      <c r="H230" s="1">
        <v>45355</v>
      </c>
      <c r="I230">
        <v>5</v>
      </c>
      <c r="J230">
        <v>4</v>
      </c>
      <c r="K230">
        <v>2699</v>
      </c>
      <c r="L230">
        <v>5</v>
      </c>
      <c r="M230">
        <v>5000</v>
      </c>
      <c r="N230">
        <v>8</v>
      </c>
      <c r="O230">
        <v>1</v>
      </c>
      <c r="P230">
        <v>3</v>
      </c>
      <c r="Q230">
        <v>3</v>
      </c>
      <c r="R230">
        <v>3</v>
      </c>
      <c r="S230">
        <v>2000</v>
      </c>
      <c r="T230">
        <v>4</v>
      </c>
      <c r="U230">
        <v>135</v>
      </c>
      <c r="V230">
        <v>3879.6000000000004</v>
      </c>
      <c r="W230">
        <v>4</v>
      </c>
      <c r="X230">
        <v>9699</v>
      </c>
      <c r="Y230">
        <f t="shared" si="15"/>
        <v>9014.6</v>
      </c>
      <c r="Z230">
        <f t="shared" si="16"/>
        <v>684.39999999999964</v>
      </c>
      <c r="AA230">
        <f t="shared" si="17"/>
        <v>56</v>
      </c>
      <c r="AB230" t="str">
        <f t="shared" si="18"/>
        <v>3445</v>
      </c>
      <c r="AC230" t="str">
        <f t="shared" si="19"/>
        <v>3141415</v>
      </c>
    </row>
    <row r="231" spans="1:29" x14ac:dyDescent="0.3">
      <c r="A231">
        <f>_xlfn.XLOOKUP(E231,Date_Dim!B:B,Date_Dim!A:A)</f>
        <v>206</v>
      </c>
      <c r="B231">
        <v>2022</v>
      </c>
      <c r="C231">
        <v>140</v>
      </c>
      <c r="D231">
        <v>1</v>
      </c>
      <c r="E231" s="1">
        <v>44323</v>
      </c>
      <c r="F231">
        <v>24</v>
      </c>
      <c r="G231" s="1">
        <v>44353</v>
      </c>
      <c r="H231" s="1">
        <v>44395</v>
      </c>
      <c r="I231">
        <v>4</v>
      </c>
      <c r="J231">
        <v>3</v>
      </c>
      <c r="K231">
        <v>1999</v>
      </c>
      <c r="L231">
        <v>3</v>
      </c>
      <c r="M231">
        <v>3000</v>
      </c>
      <c r="N231">
        <v>12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2</v>
      </c>
      <c r="U231">
        <v>175</v>
      </c>
      <c r="V231">
        <v>1999.6000000000001</v>
      </c>
      <c r="W231">
        <v>2</v>
      </c>
      <c r="X231">
        <v>4999</v>
      </c>
      <c r="Y231">
        <f t="shared" si="15"/>
        <v>5174.6000000000004</v>
      </c>
      <c r="Z231">
        <f t="shared" si="16"/>
        <v>-175.60000000000036</v>
      </c>
      <c r="AA231">
        <f t="shared" si="17"/>
        <v>42</v>
      </c>
      <c r="AB231" t="str">
        <f t="shared" si="18"/>
        <v>13224</v>
      </c>
      <c r="AC231" t="str">
        <f t="shared" si="19"/>
        <v>11312124</v>
      </c>
    </row>
    <row r="232" spans="1:29" x14ac:dyDescent="0.3">
      <c r="A232">
        <f>_xlfn.XLOOKUP(E232,Date_Dim!B:B,Date_Dim!A:A)</f>
        <v>207</v>
      </c>
      <c r="B232">
        <v>2023</v>
      </c>
      <c r="C232">
        <v>141</v>
      </c>
      <c r="D232">
        <v>1</v>
      </c>
      <c r="E232" s="1">
        <v>44629</v>
      </c>
      <c r="F232">
        <v>16</v>
      </c>
      <c r="G232" s="1">
        <v>44659</v>
      </c>
      <c r="H232" s="1">
        <v>44715</v>
      </c>
      <c r="I232">
        <v>5</v>
      </c>
      <c r="J232">
        <v>6</v>
      </c>
      <c r="K232">
        <v>2699</v>
      </c>
      <c r="L232">
        <v>11</v>
      </c>
      <c r="M232">
        <v>3000</v>
      </c>
      <c r="N232">
        <v>7</v>
      </c>
      <c r="O232">
        <v>1</v>
      </c>
      <c r="P232">
        <v>2</v>
      </c>
      <c r="Q232">
        <v>2</v>
      </c>
      <c r="R232">
        <v>2</v>
      </c>
      <c r="S232">
        <v>6000</v>
      </c>
      <c r="T232">
        <v>7</v>
      </c>
      <c r="U232">
        <v>25</v>
      </c>
      <c r="V232">
        <v>4679.6000000000004</v>
      </c>
      <c r="W232">
        <v>3</v>
      </c>
      <c r="X232">
        <v>11699</v>
      </c>
      <c r="Y232">
        <f t="shared" si="15"/>
        <v>7704.6</v>
      </c>
      <c r="Z232">
        <f t="shared" si="16"/>
        <v>3994.3999999999996</v>
      </c>
      <c r="AA232">
        <f t="shared" si="17"/>
        <v>56</v>
      </c>
      <c r="AB232" t="str">
        <f t="shared" si="18"/>
        <v>26716</v>
      </c>
      <c r="AC232" t="str">
        <f t="shared" si="19"/>
        <v>21617116</v>
      </c>
    </row>
    <row r="233" spans="1:29" x14ac:dyDescent="0.3">
      <c r="A233">
        <f>_xlfn.XLOOKUP(E233,Date_Dim!B:B,Date_Dim!A:A)</f>
        <v>111</v>
      </c>
      <c r="B233">
        <v>2022</v>
      </c>
      <c r="C233">
        <v>142</v>
      </c>
      <c r="D233">
        <v>1</v>
      </c>
      <c r="E233" s="1">
        <v>45324</v>
      </c>
      <c r="F233">
        <v>5</v>
      </c>
      <c r="G233" s="1">
        <v>45354</v>
      </c>
      <c r="H233" s="1">
        <v>45410</v>
      </c>
      <c r="I233">
        <v>5</v>
      </c>
      <c r="J233">
        <v>4</v>
      </c>
      <c r="K233">
        <v>2699</v>
      </c>
      <c r="L233">
        <v>5</v>
      </c>
      <c r="M233">
        <v>5000</v>
      </c>
      <c r="N233">
        <v>8</v>
      </c>
      <c r="O233">
        <v>1</v>
      </c>
      <c r="P233">
        <v>3</v>
      </c>
      <c r="Q233">
        <v>3</v>
      </c>
      <c r="R233">
        <v>3</v>
      </c>
      <c r="S233">
        <v>2000</v>
      </c>
      <c r="T233">
        <v>4</v>
      </c>
      <c r="U233">
        <v>135</v>
      </c>
      <c r="V233">
        <v>3879.6000000000004</v>
      </c>
      <c r="W233">
        <v>7</v>
      </c>
      <c r="X233">
        <v>9699</v>
      </c>
      <c r="Y233">
        <f t="shared" si="15"/>
        <v>9014.6</v>
      </c>
      <c r="Z233">
        <f t="shared" si="16"/>
        <v>684.39999999999964</v>
      </c>
      <c r="AA233">
        <f t="shared" si="17"/>
        <v>56</v>
      </c>
      <c r="AB233" t="str">
        <f t="shared" si="18"/>
        <v>3445</v>
      </c>
      <c r="AC233" t="str">
        <f t="shared" si="19"/>
        <v>3141415</v>
      </c>
    </row>
    <row r="234" spans="1:29" x14ac:dyDescent="0.3">
      <c r="A234">
        <f>_xlfn.XLOOKUP(E234,Date_Dim!B:B,Date_Dim!A:A)</f>
        <v>208</v>
      </c>
      <c r="B234">
        <v>2020</v>
      </c>
      <c r="C234">
        <v>143</v>
      </c>
      <c r="D234">
        <v>1</v>
      </c>
      <c r="E234" s="1">
        <v>45299</v>
      </c>
      <c r="F234">
        <v>2</v>
      </c>
      <c r="G234" s="1">
        <v>45329</v>
      </c>
      <c r="H234" s="1">
        <v>45371</v>
      </c>
      <c r="I234">
        <v>4</v>
      </c>
      <c r="J234">
        <v>2</v>
      </c>
      <c r="K234">
        <v>1999</v>
      </c>
      <c r="L234">
        <v>2</v>
      </c>
      <c r="M234">
        <v>4000</v>
      </c>
      <c r="N234">
        <v>14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2</v>
      </c>
      <c r="U234">
        <v>175</v>
      </c>
      <c r="V234">
        <v>2399.6</v>
      </c>
      <c r="W234">
        <v>2</v>
      </c>
      <c r="X234">
        <v>5999</v>
      </c>
      <c r="Y234">
        <f t="shared" si="15"/>
        <v>6574.6</v>
      </c>
      <c r="Z234">
        <f t="shared" si="16"/>
        <v>-575.60000000000036</v>
      </c>
      <c r="AA234">
        <f t="shared" si="17"/>
        <v>42</v>
      </c>
      <c r="AB234" t="str">
        <f t="shared" si="18"/>
        <v>1222</v>
      </c>
      <c r="AC234" t="str">
        <f t="shared" si="19"/>
        <v>1121212</v>
      </c>
    </row>
    <row r="235" spans="1:29" x14ac:dyDescent="0.3">
      <c r="A235">
        <f>_xlfn.XLOOKUP(E235,Date_Dim!B:B,Date_Dim!A:A)</f>
        <v>209</v>
      </c>
      <c r="B235">
        <v>2023</v>
      </c>
      <c r="C235">
        <v>143</v>
      </c>
      <c r="D235">
        <v>1</v>
      </c>
      <c r="E235" s="1">
        <v>45032</v>
      </c>
      <c r="F235">
        <v>3</v>
      </c>
      <c r="G235" s="1">
        <v>45062</v>
      </c>
      <c r="H235" s="1">
        <v>45090</v>
      </c>
      <c r="I235">
        <v>3</v>
      </c>
      <c r="J235">
        <v>3</v>
      </c>
      <c r="K235">
        <v>1689</v>
      </c>
      <c r="L235">
        <v>3</v>
      </c>
      <c r="M235">
        <v>2000</v>
      </c>
      <c r="N235">
        <v>12</v>
      </c>
      <c r="O235">
        <v>1</v>
      </c>
      <c r="P235">
        <v>1</v>
      </c>
      <c r="Q235">
        <v>1</v>
      </c>
      <c r="R235">
        <v>1</v>
      </c>
      <c r="S235">
        <v>0</v>
      </c>
      <c r="T235">
        <v>2</v>
      </c>
      <c r="U235">
        <v>175</v>
      </c>
      <c r="V235">
        <v>1106.7000000000003</v>
      </c>
      <c r="W235">
        <v>2</v>
      </c>
      <c r="X235">
        <v>3689</v>
      </c>
      <c r="Y235">
        <f t="shared" si="15"/>
        <v>3281.7000000000003</v>
      </c>
      <c r="Z235">
        <f t="shared" si="16"/>
        <v>407.29999999999973</v>
      </c>
      <c r="AA235">
        <f t="shared" si="17"/>
        <v>28</v>
      </c>
      <c r="AB235" t="str">
        <f t="shared" si="18"/>
        <v>1323</v>
      </c>
      <c r="AC235" t="str">
        <f t="shared" si="19"/>
        <v>1131213</v>
      </c>
    </row>
    <row r="236" spans="1:29" x14ac:dyDescent="0.3">
      <c r="A236">
        <f>_xlfn.XLOOKUP(E236,Date_Dim!B:B,Date_Dim!A:A)</f>
        <v>210</v>
      </c>
      <c r="B236">
        <v>2023</v>
      </c>
      <c r="C236">
        <v>144</v>
      </c>
      <c r="D236">
        <v>1</v>
      </c>
      <c r="E236" s="1">
        <v>44443</v>
      </c>
      <c r="F236">
        <v>13</v>
      </c>
      <c r="G236" s="1">
        <v>44473</v>
      </c>
      <c r="H236" s="1">
        <v>44494</v>
      </c>
      <c r="I236">
        <v>2</v>
      </c>
      <c r="J236">
        <v>6</v>
      </c>
      <c r="K236">
        <v>1559</v>
      </c>
      <c r="L236">
        <v>11</v>
      </c>
      <c r="M236">
        <v>2500</v>
      </c>
      <c r="N236">
        <v>7</v>
      </c>
      <c r="O236">
        <v>1</v>
      </c>
      <c r="P236">
        <v>2</v>
      </c>
      <c r="Q236">
        <v>2</v>
      </c>
      <c r="R236">
        <v>2</v>
      </c>
      <c r="S236">
        <v>6000</v>
      </c>
      <c r="T236">
        <v>7</v>
      </c>
      <c r="U236">
        <v>25</v>
      </c>
      <c r="V236">
        <v>3017.7000000000003</v>
      </c>
      <c r="W236">
        <v>3</v>
      </c>
      <c r="X236">
        <v>10059</v>
      </c>
      <c r="Y236">
        <f t="shared" si="15"/>
        <v>5542.7000000000007</v>
      </c>
      <c r="Z236">
        <f t="shared" si="16"/>
        <v>4516.2999999999993</v>
      </c>
      <c r="AA236">
        <f t="shared" si="17"/>
        <v>21</v>
      </c>
      <c r="AB236" t="str">
        <f t="shared" si="18"/>
        <v>26713</v>
      </c>
      <c r="AC236" t="str">
        <f t="shared" si="19"/>
        <v>21617113</v>
      </c>
    </row>
    <row r="237" spans="1:29" x14ac:dyDescent="0.3">
      <c r="A237">
        <f>_xlfn.XLOOKUP(E237,Date_Dim!B:B,Date_Dim!A:A)</f>
        <v>211</v>
      </c>
      <c r="B237">
        <v>2023</v>
      </c>
      <c r="C237">
        <v>145</v>
      </c>
      <c r="D237">
        <v>1</v>
      </c>
      <c r="E237" s="1">
        <v>45452</v>
      </c>
      <c r="F237">
        <v>17</v>
      </c>
      <c r="G237" s="1">
        <v>45482</v>
      </c>
      <c r="H237" s="1">
        <v>45524</v>
      </c>
      <c r="I237">
        <v>4</v>
      </c>
      <c r="J237">
        <v>1</v>
      </c>
      <c r="K237">
        <v>1999</v>
      </c>
      <c r="L237">
        <v>12</v>
      </c>
      <c r="M237">
        <v>1500</v>
      </c>
      <c r="N237">
        <v>11</v>
      </c>
      <c r="O237">
        <v>1</v>
      </c>
      <c r="P237">
        <v>4</v>
      </c>
      <c r="Q237">
        <v>4</v>
      </c>
      <c r="R237">
        <v>4</v>
      </c>
      <c r="S237">
        <v>0</v>
      </c>
      <c r="T237">
        <v>1</v>
      </c>
      <c r="U237">
        <v>0</v>
      </c>
      <c r="V237">
        <v>1399.6000000000001</v>
      </c>
      <c r="W237">
        <v>8</v>
      </c>
      <c r="X237">
        <v>3499</v>
      </c>
      <c r="Y237">
        <f t="shared" si="15"/>
        <v>2899.6000000000004</v>
      </c>
      <c r="Z237">
        <f t="shared" si="16"/>
        <v>599.39999999999964</v>
      </c>
      <c r="AA237">
        <f t="shared" si="17"/>
        <v>42</v>
      </c>
      <c r="AB237" t="str">
        <f t="shared" si="18"/>
        <v>41117</v>
      </c>
      <c r="AC237" t="str">
        <f t="shared" si="19"/>
        <v>41111117</v>
      </c>
    </row>
    <row r="238" spans="1:29" x14ac:dyDescent="0.3">
      <c r="A238">
        <f>_xlfn.XLOOKUP(E238,Date_Dim!B:B,Date_Dim!A:A)</f>
        <v>212</v>
      </c>
      <c r="B238">
        <v>2020</v>
      </c>
      <c r="C238">
        <v>145</v>
      </c>
      <c r="D238">
        <v>1</v>
      </c>
      <c r="E238" s="1">
        <v>45276</v>
      </c>
      <c r="F238">
        <v>9</v>
      </c>
      <c r="G238" s="1">
        <v>45306</v>
      </c>
      <c r="H238" s="1">
        <v>45362</v>
      </c>
      <c r="I238">
        <v>5</v>
      </c>
      <c r="J238">
        <v>3</v>
      </c>
      <c r="K238">
        <v>2699</v>
      </c>
      <c r="L238">
        <v>3</v>
      </c>
      <c r="M238">
        <v>3500</v>
      </c>
      <c r="N238">
        <v>12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6</v>
      </c>
      <c r="U238">
        <v>120</v>
      </c>
      <c r="V238">
        <v>2479.6000000000004</v>
      </c>
      <c r="W238">
        <v>1</v>
      </c>
      <c r="X238">
        <v>6199</v>
      </c>
      <c r="Y238">
        <f t="shared" si="15"/>
        <v>6099.6</v>
      </c>
      <c r="Z238">
        <f t="shared" si="16"/>
        <v>99.399999999999636</v>
      </c>
      <c r="AA238">
        <f t="shared" si="17"/>
        <v>56</v>
      </c>
      <c r="AB238" t="str">
        <f t="shared" si="18"/>
        <v>1369</v>
      </c>
      <c r="AC238" t="str">
        <f t="shared" si="19"/>
        <v>1131619</v>
      </c>
    </row>
    <row r="239" spans="1:29" x14ac:dyDescent="0.3">
      <c r="A239">
        <f>_xlfn.XLOOKUP(E239,Date_Dim!B:B,Date_Dim!A:A)</f>
        <v>213</v>
      </c>
      <c r="B239">
        <v>2024</v>
      </c>
      <c r="C239">
        <v>146</v>
      </c>
      <c r="D239">
        <v>1</v>
      </c>
      <c r="E239" s="1">
        <v>44437</v>
      </c>
      <c r="F239">
        <v>2</v>
      </c>
      <c r="G239" s="1">
        <v>44467</v>
      </c>
      <c r="H239" s="1">
        <v>44509</v>
      </c>
      <c r="I239">
        <v>4</v>
      </c>
      <c r="J239">
        <v>2</v>
      </c>
      <c r="K239">
        <v>1999</v>
      </c>
      <c r="L239">
        <v>2</v>
      </c>
      <c r="M239">
        <v>4000</v>
      </c>
      <c r="N239">
        <v>14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2</v>
      </c>
      <c r="U239">
        <v>175</v>
      </c>
      <c r="V239">
        <v>1799.7000000000003</v>
      </c>
      <c r="W239">
        <v>2</v>
      </c>
      <c r="X239">
        <v>5999</v>
      </c>
      <c r="Y239">
        <f t="shared" si="15"/>
        <v>5974.7000000000007</v>
      </c>
      <c r="Z239">
        <f t="shared" si="16"/>
        <v>24.299999999999272</v>
      </c>
      <c r="AA239">
        <f t="shared" si="17"/>
        <v>42</v>
      </c>
      <c r="AB239" t="str">
        <f t="shared" si="18"/>
        <v>1222</v>
      </c>
      <c r="AC239" t="str">
        <f t="shared" si="19"/>
        <v>1121212</v>
      </c>
    </row>
    <row r="240" spans="1:29" x14ac:dyDescent="0.3">
      <c r="A240">
        <f>_xlfn.XLOOKUP(E240,Date_Dim!B:B,Date_Dim!A:A)</f>
        <v>214</v>
      </c>
      <c r="B240">
        <v>2022</v>
      </c>
      <c r="C240">
        <v>146</v>
      </c>
      <c r="D240">
        <v>1</v>
      </c>
      <c r="E240" s="1">
        <v>43922</v>
      </c>
      <c r="F240">
        <v>9</v>
      </c>
      <c r="G240" s="1">
        <v>43952</v>
      </c>
      <c r="H240" s="1">
        <v>44008</v>
      </c>
      <c r="I240">
        <v>5</v>
      </c>
      <c r="J240">
        <v>3</v>
      </c>
      <c r="K240">
        <v>2699</v>
      </c>
      <c r="L240">
        <v>3</v>
      </c>
      <c r="M240">
        <v>3500</v>
      </c>
      <c r="N240">
        <v>12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1859.7000000000003</v>
      </c>
      <c r="W240">
        <v>1</v>
      </c>
      <c r="X240">
        <v>6199</v>
      </c>
      <c r="Y240">
        <f t="shared" si="15"/>
        <v>5359.7000000000007</v>
      </c>
      <c r="Z240">
        <f t="shared" si="16"/>
        <v>839.29999999999927</v>
      </c>
      <c r="AA240">
        <f t="shared" si="17"/>
        <v>56</v>
      </c>
      <c r="AB240" t="str">
        <f t="shared" si="18"/>
        <v>1319</v>
      </c>
      <c r="AC240" t="str">
        <f t="shared" si="19"/>
        <v>1131119</v>
      </c>
    </row>
    <row r="241" spans="1:29" x14ac:dyDescent="0.3">
      <c r="A241">
        <f>_xlfn.XLOOKUP(E241,Date_Dim!B:B,Date_Dim!A:A)</f>
        <v>215</v>
      </c>
      <c r="B241">
        <v>2023</v>
      </c>
      <c r="C241">
        <v>147</v>
      </c>
      <c r="D241">
        <v>1</v>
      </c>
      <c r="E241" s="1">
        <v>45302</v>
      </c>
      <c r="F241">
        <v>15</v>
      </c>
      <c r="G241" s="1">
        <v>45332</v>
      </c>
      <c r="H241" s="1">
        <v>45360</v>
      </c>
      <c r="I241">
        <v>3</v>
      </c>
      <c r="J241">
        <v>2</v>
      </c>
      <c r="K241">
        <v>1689</v>
      </c>
      <c r="L241">
        <v>10</v>
      </c>
      <c r="M241">
        <v>2500</v>
      </c>
      <c r="N241">
        <v>6</v>
      </c>
      <c r="O241">
        <v>1</v>
      </c>
      <c r="P241">
        <v>2</v>
      </c>
      <c r="Q241">
        <v>2</v>
      </c>
      <c r="R241">
        <v>2</v>
      </c>
      <c r="S241">
        <v>6000</v>
      </c>
      <c r="T241">
        <v>2</v>
      </c>
      <c r="U241">
        <v>175</v>
      </c>
      <c r="V241">
        <v>4075.6000000000004</v>
      </c>
      <c r="W241">
        <v>3</v>
      </c>
      <c r="X241">
        <v>10189</v>
      </c>
      <c r="Y241">
        <f t="shared" si="15"/>
        <v>6750.6</v>
      </c>
      <c r="Z241">
        <f t="shared" si="16"/>
        <v>3438.3999999999996</v>
      </c>
      <c r="AA241">
        <f t="shared" si="17"/>
        <v>28</v>
      </c>
      <c r="AB241" t="str">
        <f t="shared" si="18"/>
        <v>22215</v>
      </c>
      <c r="AC241" t="str">
        <f t="shared" si="19"/>
        <v>21212115</v>
      </c>
    </row>
    <row r="242" spans="1:29" x14ac:dyDescent="0.3">
      <c r="A242">
        <f>_xlfn.XLOOKUP(E242,Date_Dim!B:B,Date_Dim!A:A)</f>
        <v>216</v>
      </c>
      <c r="B242">
        <v>2020</v>
      </c>
      <c r="C242">
        <v>147</v>
      </c>
      <c r="D242">
        <v>1</v>
      </c>
      <c r="E242" s="1">
        <v>44705</v>
      </c>
      <c r="F242">
        <v>25</v>
      </c>
      <c r="G242" s="1">
        <v>44735</v>
      </c>
      <c r="H242" s="1">
        <v>44756</v>
      </c>
      <c r="I242">
        <v>2</v>
      </c>
      <c r="J242">
        <v>6</v>
      </c>
      <c r="K242">
        <v>1559</v>
      </c>
      <c r="L242">
        <v>13</v>
      </c>
      <c r="M242">
        <v>5000</v>
      </c>
      <c r="N242">
        <v>20</v>
      </c>
      <c r="O242">
        <v>1</v>
      </c>
      <c r="P242">
        <v>2</v>
      </c>
      <c r="Q242">
        <v>2</v>
      </c>
      <c r="R242">
        <v>2</v>
      </c>
      <c r="S242">
        <v>6000</v>
      </c>
      <c r="T242">
        <v>7</v>
      </c>
      <c r="U242">
        <v>25</v>
      </c>
      <c r="V242">
        <v>5023.6000000000004</v>
      </c>
      <c r="W242">
        <v>3</v>
      </c>
      <c r="X242">
        <v>12559</v>
      </c>
      <c r="Y242">
        <f t="shared" si="15"/>
        <v>10048.6</v>
      </c>
      <c r="Z242">
        <f t="shared" si="16"/>
        <v>2510.3999999999996</v>
      </c>
      <c r="AA242">
        <f t="shared" si="17"/>
        <v>21</v>
      </c>
      <c r="AB242" t="str">
        <f t="shared" si="18"/>
        <v>26725</v>
      </c>
      <c r="AC242" t="str">
        <f t="shared" si="19"/>
        <v>21617125</v>
      </c>
    </row>
    <row r="243" spans="1:29" x14ac:dyDescent="0.3">
      <c r="A243">
        <f>_xlfn.XLOOKUP(E243,Date_Dim!B:B,Date_Dim!A:A)</f>
        <v>217</v>
      </c>
      <c r="B243">
        <v>2022</v>
      </c>
      <c r="C243">
        <v>148</v>
      </c>
      <c r="D243">
        <v>1</v>
      </c>
      <c r="E243" s="1">
        <v>43918</v>
      </c>
      <c r="F243">
        <v>15</v>
      </c>
      <c r="G243" s="1">
        <v>43948</v>
      </c>
      <c r="H243" s="1">
        <v>43976</v>
      </c>
      <c r="I243">
        <v>3</v>
      </c>
      <c r="J243">
        <v>2</v>
      </c>
      <c r="K243">
        <v>1689</v>
      </c>
      <c r="L243">
        <v>10</v>
      </c>
      <c r="M243">
        <v>2500</v>
      </c>
      <c r="N243">
        <v>6</v>
      </c>
      <c r="O243">
        <v>1</v>
      </c>
      <c r="P243">
        <v>2</v>
      </c>
      <c r="Q243">
        <v>2</v>
      </c>
      <c r="R243">
        <v>2</v>
      </c>
      <c r="S243">
        <v>6000</v>
      </c>
      <c r="T243">
        <v>2</v>
      </c>
      <c r="U243">
        <v>175</v>
      </c>
      <c r="V243">
        <v>3056.7000000000003</v>
      </c>
      <c r="W243">
        <v>3</v>
      </c>
      <c r="X243">
        <v>10189</v>
      </c>
      <c r="Y243">
        <f t="shared" si="15"/>
        <v>5731.7000000000007</v>
      </c>
      <c r="Z243">
        <f t="shared" si="16"/>
        <v>4457.2999999999993</v>
      </c>
      <c r="AA243">
        <f t="shared" si="17"/>
        <v>28</v>
      </c>
      <c r="AB243" t="str">
        <f t="shared" si="18"/>
        <v>22215</v>
      </c>
      <c r="AC243" t="str">
        <f t="shared" si="19"/>
        <v>21212115</v>
      </c>
    </row>
    <row r="244" spans="1:29" x14ac:dyDescent="0.3">
      <c r="A244">
        <f>_xlfn.XLOOKUP(E244,Date_Dim!B:B,Date_Dim!A:A)</f>
        <v>218</v>
      </c>
      <c r="B244">
        <v>2024</v>
      </c>
      <c r="C244">
        <v>148</v>
      </c>
      <c r="D244">
        <v>1</v>
      </c>
      <c r="E244" s="1">
        <v>44081</v>
      </c>
      <c r="F244">
        <v>13</v>
      </c>
      <c r="G244" s="1">
        <v>44111</v>
      </c>
      <c r="H244" s="1">
        <v>44132</v>
      </c>
      <c r="I244">
        <v>2</v>
      </c>
      <c r="J244">
        <v>6</v>
      </c>
      <c r="K244">
        <v>1559</v>
      </c>
      <c r="L244">
        <v>11</v>
      </c>
      <c r="M244">
        <v>2500</v>
      </c>
      <c r="N244">
        <v>7</v>
      </c>
      <c r="O244">
        <v>1</v>
      </c>
      <c r="P244">
        <v>2</v>
      </c>
      <c r="Q244">
        <v>2</v>
      </c>
      <c r="R244">
        <v>2</v>
      </c>
      <c r="S244">
        <v>6000</v>
      </c>
      <c r="T244">
        <v>7</v>
      </c>
      <c r="U244">
        <v>25</v>
      </c>
      <c r="V244">
        <v>4023.6000000000004</v>
      </c>
      <c r="W244">
        <v>3</v>
      </c>
      <c r="X244">
        <v>10059</v>
      </c>
      <c r="Y244">
        <f t="shared" si="15"/>
        <v>6548.6</v>
      </c>
      <c r="Z244">
        <f t="shared" si="16"/>
        <v>3510.3999999999996</v>
      </c>
      <c r="AA244">
        <f t="shared" si="17"/>
        <v>21</v>
      </c>
      <c r="AB244" t="str">
        <f t="shared" si="18"/>
        <v>26713</v>
      </c>
      <c r="AC244" t="str">
        <f t="shared" si="19"/>
        <v>21617113</v>
      </c>
    </row>
    <row r="245" spans="1:29" x14ac:dyDescent="0.3">
      <c r="A245">
        <f>_xlfn.XLOOKUP(E245,Date_Dim!B:B,Date_Dim!A:A)</f>
        <v>219</v>
      </c>
      <c r="B245">
        <v>2023</v>
      </c>
      <c r="C245">
        <v>149</v>
      </c>
      <c r="D245">
        <v>1</v>
      </c>
      <c r="E245" s="1">
        <v>44896</v>
      </c>
      <c r="F245">
        <v>15</v>
      </c>
      <c r="G245" s="1">
        <v>44926</v>
      </c>
      <c r="H245" s="1">
        <v>44954</v>
      </c>
      <c r="I245">
        <v>3</v>
      </c>
      <c r="J245">
        <v>2</v>
      </c>
      <c r="K245">
        <v>1689</v>
      </c>
      <c r="L245">
        <v>10</v>
      </c>
      <c r="M245">
        <v>2500</v>
      </c>
      <c r="N245">
        <v>6</v>
      </c>
      <c r="O245">
        <v>1</v>
      </c>
      <c r="P245">
        <v>2</v>
      </c>
      <c r="Q245">
        <v>2</v>
      </c>
      <c r="R245">
        <v>2</v>
      </c>
      <c r="S245">
        <v>6000</v>
      </c>
      <c r="T245">
        <v>2</v>
      </c>
      <c r="U245">
        <v>175</v>
      </c>
      <c r="V245">
        <v>4075.6000000000004</v>
      </c>
      <c r="W245">
        <v>3</v>
      </c>
      <c r="X245">
        <v>10189</v>
      </c>
      <c r="Y245">
        <f t="shared" si="15"/>
        <v>6750.6</v>
      </c>
      <c r="Z245">
        <f t="shared" si="16"/>
        <v>3438.3999999999996</v>
      </c>
      <c r="AA245">
        <f t="shared" si="17"/>
        <v>28</v>
      </c>
      <c r="AB245" t="str">
        <f t="shared" si="18"/>
        <v>22215</v>
      </c>
      <c r="AC245" t="str">
        <f t="shared" si="19"/>
        <v>21212115</v>
      </c>
    </row>
    <row r="246" spans="1:29" x14ac:dyDescent="0.3">
      <c r="A246">
        <f>_xlfn.XLOOKUP(E246,Date_Dim!B:B,Date_Dim!A:A)</f>
        <v>220</v>
      </c>
      <c r="B246">
        <v>2020</v>
      </c>
      <c r="C246">
        <v>149</v>
      </c>
      <c r="D246">
        <v>1</v>
      </c>
      <c r="E246" s="1">
        <v>45597</v>
      </c>
      <c r="F246">
        <v>25</v>
      </c>
      <c r="G246" s="1">
        <v>45627</v>
      </c>
      <c r="H246" s="1">
        <v>45648</v>
      </c>
      <c r="I246">
        <v>2</v>
      </c>
      <c r="J246">
        <v>6</v>
      </c>
      <c r="K246">
        <v>1559</v>
      </c>
      <c r="L246">
        <v>13</v>
      </c>
      <c r="M246">
        <v>5000</v>
      </c>
      <c r="N246">
        <v>20</v>
      </c>
      <c r="O246">
        <v>1</v>
      </c>
      <c r="P246">
        <v>2</v>
      </c>
      <c r="Q246">
        <v>2</v>
      </c>
      <c r="R246">
        <v>2</v>
      </c>
      <c r="S246">
        <v>6000</v>
      </c>
      <c r="T246">
        <v>7</v>
      </c>
      <c r="U246">
        <v>25</v>
      </c>
      <c r="V246">
        <v>5023.6000000000004</v>
      </c>
      <c r="W246">
        <v>3</v>
      </c>
      <c r="X246">
        <v>12559</v>
      </c>
      <c r="Y246">
        <f t="shared" si="15"/>
        <v>10048.6</v>
      </c>
      <c r="Z246">
        <f t="shared" si="16"/>
        <v>2510.3999999999996</v>
      </c>
      <c r="AA246">
        <f t="shared" si="17"/>
        <v>21</v>
      </c>
      <c r="AB246" t="str">
        <f t="shared" si="18"/>
        <v>26725</v>
      </c>
      <c r="AC246" t="str">
        <f t="shared" si="19"/>
        <v>21617125</v>
      </c>
    </row>
    <row r="247" spans="1:29" x14ac:dyDescent="0.3">
      <c r="A247">
        <f>_xlfn.XLOOKUP(E247,Date_Dim!B:B,Date_Dim!A:A)</f>
        <v>221</v>
      </c>
      <c r="B247">
        <v>2023</v>
      </c>
      <c r="C247">
        <v>150</v>
      </c>
      <c r="D247">
        <v>1</v>
      </c>
      <c r="E247" s="1">
        <v>45148</v>
      </c>
      <c r="F247">
        <v>8</v>
      </c>
      <c r="G247" s="1">
        <v>45178</v>
      </c>
      <c r="H247" s="1">
        <v>45192</v>
      </c>
      <c r="I247">
        <v>1</v>
      </c>
      <c r="J247">
        <v>4</v>
      </c>
      <c r="K247">
        <v>1459</v>
      </c>
      <c r="L247">
        <v>8</v>
      </c>
      <c r="M247">
        <v>1800</v>
      </c>
      <c r="N247">
        <v>2</v>
      </c>
      <c r="O247">
        <v>1</v>
      </c>
      <c r="P247">
        <v>4</v>
      </c>
      <c r="Q247">
        <v>4</v>
      </c>
      <c r="R247">
        <v>4</v>
      </c>
      <c r="S247">
        <v>0</v>
      </c>
      <c r="T247">
        <v>5</v>
      </c>
      <c r="U247">
        <v>155</v>
      </c>
      <c r="V247">
        <v>1303.6000000000001</v>
      </c>
      <c r="W247">
        <v>8</v>
      </c>
      <c r="X247">
        <v>3259</v>
      </c>
      <c r="Y247">
        <f t="shared" si="15"/>
        <v>3258.6000000000004</v>
      </c>
      <c r="Z247">
        <f t="shared" si="16"/>
        <v>0.3999999999996362</v>
      </c>
      <c r="AA247">
        <f t="shared" si="17"/>
        <v>14</v>
      </c>
      <c r="AB247" t="str">
        <f t="shared" si="18"/>
        <v>4458</v>
      </c>
      <c r="AC247" t="str">
        <f t="shared" si="19"/>
        <v>4141518</v>
      </c>
    </row>
    <row r="248" spans="1:29" x14ac:dyDescent="0.3">
      <c r="A248">
        <f>_xlfn.XLOOKUP(E248,Date_Dim!B:B,Date_Dim!A:A)</f>
        <v>222</v>
      </c>
      <c r="B248">
        <v>2022</v>
      </c>
      <c r="C248">
        <v>151</v>
      </c>
      <c r="D248">
        <v>1</v>
      </c>
      <c r="E248" s="1">
        <v>44920</v>
      </c>
      <c r="F248">
        <v>24</v>
      </c>
      <c r="G248" s="1">
        <v>44950</v>
      </c>
      <c r="H248" s="1">
        <v>44992</v>
      </c>
      <c r="I248">
        <v>4</v>
      </c>
      <c r="J248">
        <v>3</v>
      </c>
      <c r="K248">
        <v>1999</v>
      </c>
      <c r="L248">
        <v>3</v>
      </c>
      <c r="M248">
        <v>3000</v>
      </c>
      <c r="N248">
        <v>12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2</v>
      </c>
      <c r="U248">
        <v>175</v>
      </c>
      <c r="V248">
        <v>1499.7000000000003</v>
      </c>
      <c r="W248">
        <v>2</v>
      </c>
      <c r="X248">
        <v>4999</v>
      </c>
      <c r="Y248">
        <f t="shared" si="15"/>
        <v>4674.7000000000007</v>
      </c>
      <c r="Z248">
        <f t="shared" si="16"/>
        <v>324.29999999999927</v>
      </c>
      <c r="AA248">
        <f t="shared" si="17"/>
        <v>42</v>
      </c>
      <c r="AB248" t="str">
        <f t="shared" si="18"/>
        <v>13224</v>
      </c>
      <c r="AC248" t="str">
        <f t="shared" si="19"/>
        <v>11312124</v>
      </c>
    </row>
    <row r="249" spans="1:29" x14ac:dyDescent="0.3">
      <c r="A249">
        <f>_xlfn.XLOOKUP(E249,Date_Dim!B:B,Date_Dim!A:A)</f>
        <v>15</v>
      </c>
      <c r="B249">
        <v>2022</v>
      </c>
      <c r="C249">
        <v>152</v>
      </c>
      <c r="D249">
        <v>1</v>
      </c>
      <c r="E249" s="1">
        <v>44671</v>
      </c>
      <c r="F249">
        <v>3</v>
      </c>
      <c r="G249" s="1">
        <v>44701</v>
      </c>
      <c r="H249" s="1">
        <v>44729</v>
      </c>
      <c r="I249">
        <v>3</v>
      </c>
      <c r="J249">
        <v>3</v>
      </c>
      <c r="K249">
        <v>1689</v>
      </c>
      <c r="L249">
        <v>3</v>
      </c>
      <c r="M249">
        <v>2000</v>
      </c>
      <c r="N249">
        <v>12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2</v>
      </c>
      <c r="U249">
        <v>175</v>
      </c>
      <c r="V249">
        <v>1106.7000000000003</v>
      </c>
      <c r="W249">
        <v>2</v>
      </c>
      <c r="X249">
        <v>3689</v>
      </c>
      <c r="Y249">
        <f t="shared" si="15"/>
        <v>3281.7000000000003</v>
      </c>
      <c r="Z249">
        <f t="shared" si="16"/>
        <v>407.29999999999973</v>
      </c>
      <c r="AA249">
        <f t="shared" si="17"/>
        <v>28</v>
      </c>
      <c r="AB249" t="str">
        <f t="shared" si="18"/>
        <v>1323</v>
      </c>
      <c r="AC249" t="str">
        <f t="shared" si="19"/>
        <v>1131213</v>
      </c>
    </row>
    <row r="250" spans="1:29" x14ac:dyDescent="0.3">
      <c r="A250">
        <f>_xlfn.XLOOKUP(E250,Date_Dim!B:B,Date_Dim!A:A)</f>
        <v>223</v>
      </c>
      <c r="B250">
        <v>2024</v>
      </c>
      <c r="C250">
        <v>153</v>
      </c>
      <c r="D250">
        <v>2</v>
      </c>
      <c r="E250" s="1">
        <v>44412</v>
      </c>
      <c r="F250">
        <v>15</v>
      </c>
      <c r="G250" s="1">
        <v>44442</v>
      </c>
      <c r="H250" s="1">
        <v>44470</v>
      </c>
      <c r="I250">
        <v>3</v>
      </c>
      <c r="J250">
        <v>2</v>
      </c>
      <c r="K250">
        <v>1689</v>
      </c>
      <c r="L250">
        <v>10</v>
      </c>
      <c r="M250">
        <v>2500</v>
      </c>
      <c r="N250">
        <v>6</v>
      </c>
      <c r="O250">
        <v>1</v>
      </c>
      <c r="P250">
        <v>2</v>
      </c>
      <c r="Q250">
        <v>2</v>
      </c>
      <c r="R250">
        <v>2</v>
      </c>
      <c r="S250">
        <v>6000</v>
      </c>
      <c r="T250">
        <v>2</v>
      </c>
      <c r="U250">
        <v>175</v>
      </c>
      <c r="V250">
        <v>4075.6000000000004</v>
      </c>
      <c r="W250">
        <v>3</v>
      </c>
      <c r="X250">
        <v>10189</v>
      </c>
      <c r="Y250">
        <f t="shared" si="15"/>
        <v>6750.6</v>
      </c>
      <c r="Z250">
        <f t="shared" si="16"/>
        <v>3438.3999999999996</v>
      </c>
      <c r="AA250">
        <f t="shared" si="17"/>
        <v>28</v>
      </c>
      <c r="AB250" t="str">
        <f t="shared" si="18"/>
        <v>22215</v>
      </c>
      <c r="AC250" t="str">
        <f t="shared" si="19"/>
        <v>21212115</v>
      </c>
    </row>
    <row r="251" spans="1:29" x14ac:dyDescent="0.3">
      <c r="A251">
        <f>_xlfn.XLOOKUP(E251,Date_Dim!B:B,Date_Dim!A:A)</f>
        <v>224</v>
      </c>
      <c r="B251">
        <v>2021</v>
      </c>
      <c r="C251">
        <v>153</v>
      </c>
      <c r="D251">
        <v>1</v>
      </c>
      <c r="E251" s="1">
        <v>45199</v>
      </c>
      <c r="F251">
        <v>34</v>
      </c>
      <c r="G251" s="1">
        <v>45229</v>
      </c>
      <c r="H251" s="1">
        <v>45243</v>
      </c>
      <c r="I251">
        <v>1</v>
      </c>
      <c r="J251">
        <v>5</v>
      </c>
      <c r="K251">
        <v>1459</v>
      </c>
      <c r="L251">
        <v>16</v>
      </c>
      <c r="M251">
        <v>2800</v>
      </c>
      <c r="N251">
        <v>13</v>
      </c>
      <c r="O251">
        <v>1</v>
      </c>
      <c r="P251">
        <v>4</v>
      </c>
      <c r="Q251">
        <v>4</v>
      </c>
      <c r="R251">
        <v>4</v>
      </c>
      <c r="S251">
        <v>0</v>
      </c>
      <c r="T251">
        <v>5</v>
      </c>
      <c r="U251">
        <v>155</v>
      </c>
      <c r="V251">
        <v>1277.7000000000003</v>
      </c>
      <c r="W251">
        <v>8</v>
      </c>
      <c r="X251">
        <v>4259</v>
      </c>
      <c r="Y251">
        <f t="shared" si="15"/>
        <v>4232.7000000000007</v>
      </c>
      <c r="Z251">
        <f t="shared" si="16"/>
        <v>26.299999999999272</v>
      </c>
      <c r="AA251">
        <f t="shared" si="17"/>
        <v>14</v>
      </c>
      <c r="AB251" t="str">
        <f t="shared" si="18"/>
        <v>45534</v>
      </c>
      <c r="AC251" t="str">
        <f t="shared" si="19"/>
        <v>41515134</v>
      </c>
    </row>
    <row r="252" spans="1:29" x14ac:dyDescent="0.3">
      <c r="A252">
        <f>_xlfn.XLOOKUP(E252,Date_Dim!B:B,Date_Dim!A:A)</f>
        <v>225</v>
      </c>
      <c r="B252">
        <v>2021</v>
      </c>
      <c r="C252">
        <v>154</v>
      </c>
      <c r="D252">
        <v>1</v>
      </c>
      <c r="E252" s="1">
        <v>44231</v>
      </c>
      <c r="F252">
        <v>17</v>
      </c>
      <c r="G252" s="1">
        <v>44261</v>
      </c>
      <c r="H252" s="1">
        <v>44303</v>
      </c>
      <c r="I252">
        <v>4</v>
      </c>
      <c r="J252">
        <v>1</v>
      </c>
      <c r="K252">
        <v>1999</v>
      </c>
      <c r="L252">
        <v>12</v>
      </c>
      <c r="M252">
        <v>1500</v>
      </c>
      <c r="N252">
        <v>11</v>
      </c>
      <c r="O252">
        <v>1</v>
      </c>
      <c r="P252">
        <v>4</v>
      </c>
      <c r="Q252">
        <v>4</v>
      </c>
      <c r="R252">
        <v>4</v>
      </c>
      <c r="S252">
        <v>0</v>
      </c>
      <c r="T252">
        <v>1</v>
      </c>
      <c r="U252">
        <v>0</v>
      </c>
      <c r="V252">
        <v>1049.7</v>
      </c>
      <c r="W252">
        <v>1</v>
      </c>
      <c r="X252">
        <v>3499</v>
      </c>
      <c r="Y252">
        <f t="shared" si="15"/>
        <v>2549.6999999999998</v>
      </c>
      <c r="Z252">
        <f t="shared" si="16"/>
        <v>949.30000000000018</v>
      </c>
      <c r="AA252">
        <f t="shared" si="17"/>
        <v>42</v>
      </c>
      <c r="AB252" t="str">
        <f t="shared" si="18"/>
        <v>41117</v>
      </c>
      <c r="AC252" t="str">
        <f t="shared" si="19"/>
        <v>41111117</v>
      </c>
    </row>
    <row r="253" spans="1:29" x14ac:dyDescent="0.3">
      <c r="A253">
        <f>_xlfn.XLOOKUP(E253,Date_Dim!B:B,Date_Dim!A:A)</f>
        <v>226</v>
      </c>
      <c r="B253">
        <v>2024</v>
      </c>
      <c r="C253">
        <v>154</v>
      </c>
      <c r="D253">
        <v>1</v>
      </c>
      <c r="E253" s="1">
        <v>43839</v>
      </c>
      <c r="F253">
        <v>10</v>
      </c>
      <c r="G253" s="1">
        <v>43869</v>
      </c>
      <c r="H253" s="1">
        <v>43883</v>
      </c>
      <c r="I253">
        <v>1</v>
      </c>
      <c r="J253">
        <v>5</v>
      </c>
      <c r="K253">
        <v>1459</v>
      </c>
      <c r="L253">
        <v>9</v>
      </c>
      <c r="M253">
        <v>1000</v>
      </c>
      <c r="N253">
        <v>4</v>
      </c>
      <c r="O253">
        <v>1</v>
      </c>
      <c r="P253">
        <v>4</v>
      </c>
      <c r="Q253">
        <v>4</v>
      </c>
      <c r="R253">
        <v>4</v>
      </c>
      <c r="S253">
        <v>0</v>
      </c>
      <c r="T253">
        <v>5</v>
      </c>
      <c r="U253">
        <v>155</v>
      </c>
      <c r="V253">
        <v>983.6</v>
      </c>
      <c r="W253">
        <v>8</v>
      </c>
      <c r="X253">
        <v>2459</v>
      </c>
      <c r="Y253">
        <f t="shared" si="15"/>
        <v>2138.6</v>
      </c>
      <c r="Z253">
        <f t="shared" si="16"/>
        <v>320.40000000000009</v>
      </c>
      <c r="AA253">
        <f t="shared" si="17"/>
        <v>14</v>
      </c>
      <c r="AB253" t="str">
        <f t="shared" si="18"/>
        <v>45510</v>
      </c>
      <c r="AC253" t="str">
        <f t="shared" si="19"/>
        <v>41515110</v>
      </c>
    </row>
    <row r="254" spans="1:29" x14ac:dyDescent="0.3">
      <c r="A254">
        <f>_xlfn.XLOOKUP(E254,Date_Dim!B:B,Date_Dim!A:A)</f>
        <v>227</v>
      </c>
      <c r="B254">
        <v>2022</v>
      </c>
      <c r="C254">
        <v>155</v>
      </c>
      <c r="D254">
        <v>1</v>
      </c>
      <c r="E254" s="1">
        <v>44098</v>
      </c>
      <c r="F254">
        <v>9</v>
      </c>
      <c r="G254" s="1">
        <v>44128</v>
      </c>
      <c r="H254" s="1">
        <v>44184</v>
      </c>
      <c r="I254">
        <v>5</v>
      </c>
      <c r="J254">
        <v>3</v>
      </c>
      <c r="K254">
        <v>2699</v>
      </c>
      <c r="L254">
        <v>3</v>
      </c>
      <c r="M254">
        <v>3500</v>
      </c>
      <c r="N254">
        <v>12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6</v>
      </c>
      <c r="U254">
        <v>120</v>
      </c>
      <c r="V254">
        <v>2479.6000000000004</v>
      </c>
      <c r="W254">
        <v>1</v>
      </c>
      <c r="X254">
        <v>6199</v>
      </c>
      <c r="Y254">
        <f t="shared" si="15"/>
        <v>6099.6</v>
      </c>
      <c r="Z254">
        <f t="shared" si="16"/>
        <v>99.399999999999636</v>
      </c>
      <c r="AA254">
        <f t="shared" si="17"/>
        <v>56</v>
      </c>
      <c r="AB254" t="str">
        <f t="shared" si="18"/>
        <v>1369</v>
      </c>
      <c r="AC254" t="str">
        <f t="shared" si="19"/>
        <v>1131619</v>
      </c>
    </row>
    <row r="255" spans="1:29" x14ac:dyDescent="0.3">
      <c r="A255">
        <f>_xlfn.XLOOKUP(E255,Date_Dim!B:B,Date_Dim!A:A)</f>
        <v>228</v>
      </c>
      <c r="B255">
        <v>2023</v>
      </c>
      <c r="C255">
        <v>156</v>
      </c>
      <c r="D255">
        <v>1</v>
      </c>
      <c r="E255" s="1">
        <v>44703</v>
      </c>
      <c r="F255">
        <v>15</v>
      </c>
      <c r="G255" s="1">
        <v>44733</v>
      </c>
      <c r="H255" s="1">
        <v>44761</v>
      </c>
      <c r="I255">
        <v>3</v>
      </c>
      <c r="J255">
        <v>2</v>
      </c>
      <c r="K255">
        <v>1689</v>
      </c>
      <c r="L255">
        <v>10</v>
      </c>
      <c r="M255">
        <v>2500</v>
      </c>
      <c r="N255">
        <v>6</v>
      </c>
      <c r="O255">
        <v>1</v>
      </c>
      <c r="P255">
        <v>2</v>
      </c>
      <c r="Q255">
        <v>2</v>
      </c>
      <c r="R255">
        <v>2</v>
      </c>
      <c r="S255">
        <v>6000</v>
      </c>
      <c r="T255">
        <v>2</v>
      </c>
      <c r="U255">
        <v>175</v>
      </c>
      <c r="V255">
        <v>3056.7000000000003</v>
      </c>
      <c r="W255">
        <v>3</v>
      </c>
      <c r="X255">
        <v>10189</v>
      </c>
      <c r="Y255">
        <f t="shared" si="15"/>
        <v>5731.7000000000007</v>
      </c>
      <c r="Z255">
        <f t="shared" si="16"/>
        <v>4457.2999999999993</v>
      </c>
      <c r="AA255">
        <f t="shared" si="17"/>
        <v>28</v>
      </c>
      <c r="AB255" t="str">
        <f t="shared" si="18"/>
        <v>22215</v>
      </c>
      <c r="AC255" t="str">
        <f t="shared" si="19"/>
        <v>21212115</v>
      </c>
    </row>
    <row r="256" spans="1:29" x14ac:dyDescent="0.3">
      <c r="A256">
        <f>_xlfn.XLOOKUP(E256,Date_Dim!B:B,Date_Dim!A:A)</f>
        <v>229</v>
      </c>
      <c r="B256">
        <v>2020</v>
      </c>
      <c r="C256">
        <v>156</v>
      </c>
      <c r="D256">
        <v>1</v>
      </c>
      <c r="E256" s="1">
        <v>44122</v>
      </c>
      <c r="F256">
        <v>25</v>
      </c>
      <c r="G256" s="1">
        <v>44152</v>
      </c>
      <c r="H256" s="1">
        <v>44173</v>
      </c>
      <c r="I256">
        <v>2</v>
      </c>
      <c r="J256">
        <v>6</v>
      </c>
      <c r="K256">
        <v>1559</v>
      </c>
      <c r="L256">
        <v>13</v>
      </c>
      <c r="M256">
        <v>5000</v>
      </c>
      <c r="N256">
        <v>20</v>
      </c>
      <c r="O256">
        <v>1</v>
      </c>
      <c r="P256">
        <v>2</v>
      </c>
      <c r="Q256">
        <v>2</v>
      </c>
      <c r="R256">
        <v>2</v>
      </c>
      <c r="S256">
        <v>6000</v>
      </c>
      <c r="T256">
        <v>7</v>
      </c>
      <c r="U256">
        <v>25</v>
      </c>
      <c r="V256">
        <v>5023.6000000000004</v>
      </c>
      <c r="W256">
        <v>3</v>
      </c>
      <c r="X256">
        <v>12559</v>
      </c>
      <c r="Y256">
        <f t="shared" si="15"/>
        <v>10048.6</v>
      </c>
      <c r="Z256">
        <f t="shared" si="16"/>
        <v>2510.3999999999996</v>
      </c>
      <c r="AA256">
        <f t="shared" si="17"/>
        <v>21</v>
      </c>
      <c r="AB256" t="str">
        <f t="shared" si="18"/>
        <v>26725</v>
      </c>
      <c r="AC256" t="str">
        <f t="shared" si="19"/>
        <v>21617125</v>
      </c>
    </row>
    <row r="257" spans="1:29" x14ac:dyDescent="0.3">
      <c r="A257">
        <f>_xlfn.XLOOKUP(E257,Date_Dim!B:B,Date_Dim!A:A)</f>
        <v>230</v>
      </c>
      <c r="B257">
        <v>2023</v>
      </c>
      <c r="C257">
        <v>157</v>
      </c>
      <c r="D257">
        <v>1</v>
      </c>
      <c r="E257" s="1">
        <v>45503</v>
      </c>
      <c r="F257">
        <v>6</v>
      </c>
      <c r="G257" s="1">
        <v>45533</v>
      </c>
      <c r="H257" s="1">
        <v>45575</v>
      </c>
      <c r="I257">
        <v>4</v>
      </c>
      <c r="J257">
        <v>4</v>
      </c>
      <c r="K257">
        <v>1999</v>
      </c>
      <c r="L257">
        <v>6</v>
      </c>
      <c r="M257">
        <v>3000</v>
      </c>
      <c r="N257">
        <v>9</v>
      </c>
      <c r="O257">
        <v>1</v>
      </c>
      <c r="P257">
        <v>4</v>
      </c>
      <c r="Q257">
        <v>4</v>
      </c>
      <c r="R257">
        <v>4</v>
      </c>
      <c r="S257">
        <v>0</v>
      </c>
      <c r="T257">
        <v>4</v>
      </c>
      <c r="U257">
        <v>135</v>
      </c>
      <c r="V257">
        <v>1999.6000000000001</v>
      </c>
      <c r="W257">
        <v>5</v>
      </c>
      <c r="X257">
        <v>4999</v>
      </c>
      <c r="Y257">
        <f t="shared" si="15"/>
        <v>5134.6000000000004</v>
      </c>
      <c r="Z257">
        <f t="shared" si="16"/>
        <v>-135.60000000000036</v>
      </c>
      <c r="AA257">
        <f t="shared" si="17"/>
        <v>42</v>
      </c>
      <c r="AB257" t="str">
        <f t="shared" si="18"/>
        <v>4446</v>
      </c>
      <c r="AC257" t="str">
        <f t="shared" si="19"/>
        <v>4141416</v>
      </c>
    </row>
    <row r="258" spans="1:29" x14ac:dyDescent="0.3">
      <c r="A258">
        <f>_xlfn.XLOOKUP(E258,Date_Dim!B:B,Date_Dim!A:A)</f>
        <v>231</v>
      </c>
      <c r="B258">
        <v>2021</v>
      </c>
      <c r="C258">
        <v>158</v>
      </c>
      <c r="D258">
        <v>1</v>
      </c>
      <c r="E258" s="1">
        <v>45413</v>
      </c>
      <c r="F258">
        <v>5</v>
      </c>
      <c r="G258" s="1">
        <v>45443</v>
      </c>
      <c r="H258" s="1">
        <v>45499</v>
      </c>
      <c r="I258">
        <v>5</v>
      </c>
      <c r="J258">
        <v>4</v>
      </c>
      <c r="K258">
        <v>2699</v>
      </c>
      <c r="L258">
        <v>5</v>
      </c>
      <c r="M258">
        <v>5000</v>
      </c>
      <c r="N258">
        <v>8</v>
      </c>
      <c r="O258">
        <v>1</v>
      </c>
      <c r="P258">
        <v>3</v>
      </c>
      <c r="Q258">
        <v>3</v>
      </c>
      <c r="R258">
        <v>3</v>
      </c>
      <c r="S258">
        <v>2000</v>
      </c>
      <c r="T258">
        <v>4</v>
      </c>
      <c r="U258">
        <v>135</v>
      </c>
      <c r="V258">
        <v>2909.7000000000003</v>
      </c>
      <c r="W258">
        <v>7</v>
      </c>
      <c r="X258">
        <v>9699</v>
      </c>
      <c r="Y258">
        <f t="shared" ref="Y258:Y321" si="20">M258+U258+V258</f>
        <v>8044.7000000000007</v>
      </c>
      <c r="Z258">
        <f t="shared" ref="Z258:Z321" si="21">X258-Y258</f>
        <v>1654.2999999999993</v>
      </c>
      <c r="AA258">
        <f t="shared" ref="AA258:AA321" si="22">H258-G258</f>
        <v>56</v>
      </c>
      <c r="AB258" t="str">
        <f t="shared" ref="AB258:AB321" si="23">P258&amp;J258&amp;T258&amp;F258</f>
        <v>3445</v>
      </c>
      <c r="AC258" t="str">
        <f t="shared" ref="AC258:AC321" si="24">P258&amp;"1"&amp;J258&amp;"1"&amp;T258&amp;"1"&amp;F258</f>
        <v>3141415</v>
      </c>
    </row>
    <row r="259" spans="1:29" x14ac:dyDescent="0.3">
      <c r="A259">
        <f>_xlfn.XLOOKUP(E259,Date_Dim!B:B,Date_Dim!A:A)</f>
        <v>232</v>
      </c>
      <c r="B259">
        <v>2024</v>
      </c>
      <c r="C259">
        <v>158</v>
      </c>
      <c r="D259">
        <v>1</v>
      </c>
      <c r="E259" s="1">
        <v>45360</v>
      </c>
      <c r="F259">
        <v>9</v>
      </c>
      <c r="G259" s="1">
        <v>45390</v>
      </c>
      <c r="H259" s="1">
        <v>45446</v>
      </c>
      <c r="I259">
        <v>5</v>
      </c>
      <c r="J259">
        <v>3</v>
      </c>
      <c r="K259">
        <v>2699</v>
      </c>
      <c r="L259">
        <v>3</v>
      </c>
      <c r="M259">
        <v>3500</v>
      </c>
      <c r="N259">
        <v>12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2479.6000000000004</v>
      </c>
      <c r="W259">
        <v>1</v>
      </c>
      <c r="X259">
        <v>6199</v>
      </c>
      <c r="Y259">
        <f t="shared" si="20"/>
        <v>5979.6</v>
      </c>
      <c r="Z259">
        <f t="shared" si="21"/>
        <v>219.39999999999964</v>
      </c>
      <c r="AA259">
        <f t="shared" si="22"/>
        <v>56</v>
      </c>
      <c r="AB259" t="str">
        <f t="shared" si="23"/>
        <v>1319</v>
      </c>
      <c r="AC259" t="str">
        <f t="shared" si="24"/>
        <v>1131119</v>
      </c>
    </row>
    <row r="260" spans="1:29" x14ac:dyDescent="0.3">
      <c r="A260">
        <f>_xlfn.XLOOKUP(E260,Date_Dim!B:B,Date_Dim!A:A)</f>
        <v>233</v>
      </c>
      <c r="B260">
        <v>2022</v>
      </c>
      <c r="C260">
        <v>159</v>
      </c>
      <c r="D260">
        <v>1</v>
      </c>
      <c r="E260" s="1">
        <v>45409</v>
      </c>
      <c r="F260">
        <v>3</v>
      </c>
      <c r="G260" s="1">
        <v>45439</v>
      </c>
      <c r="H260" s="1">
        <v>45467</v>
      </c>
      <c r="I260">
        <v>3</v>
      </c>
      <c r="J260">
        <v>3</v>
      </c>
      <c r="K260">
        <v>1689</v>
      </c>
      <c r="L260">
        <v>3</v>
      </c>
      <c r="M260">
        <v>2000</v>
      </c>
      <c r="N260">
        <v>12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2</v>
      </c>
      <c r="U260">
        <v>175</v>
      </c>
      <c r="V260">
        <v>1106.7000000000003</v>
      </c>
      <c r="W260">
        <v>2</v>
      </c>
      <c r="X260">
        <v>3689</v>
      </c>
      <c r="Y260">
        <f t="shared" si="20"/>
        <v>3281.7000000000003</v>
      </c>
      <c r="Z260">
        <f t="shared" si="21"/>
        <v>407.29999999999973</v>
      </c>
      <c r="AA260">
        <f t="shared" si="22"/>
        <v>28</v>
      </c>
      <c r="AB260" t="str">
        <f t="shared" si="23"/>
        <v>1323</v>
      </c>
      <c r="AC260" t="str">
        <f t="shared" si="24"/>
        <v>1131213</v>
      </c>
    </row>
    <row r="261" spans="1:29" x14ac:dyDescent="0.3">
      <c r="A261">
        <f>_xlfn.XLOOKUP(E261,Date_Dim!B:B,Date_Dim!A:A)</f>
        <v>223</v>
      </c>
      <c r="B261">
        <v>2022</v>
      </c>
      <c r="C261">
        <v>160</v>
      </c>
      <c r="D261">
        <v>1</v>
      </c>
      <c r="E261" s="1">
        <v>44412</v>
      </c>
      <c r="F261">
        <v>5</v>
      </c>
      <c r="G261" s="1">
        <v>44442</v>
      </c>
      <c r="H261" s="1">
        <v>44498</v>
      </c>
      <c r="I261">
        <v>5</v>
      </c>
      <c r="J261">
        <v>4</v>
      </c>
      <c r="K261">
        <v>2699</v>
      </c>
      <c r="L261">
        <v>5</v>
      </c>
      <c r="M261">
        <v>5000</v>
      </c>
      <c r="N261">
        <v>8</v>
      </c>
      <c r="O261">
        <v>1</v>
      </c>
      <c r="P261">
        <v>5</v>
      </c>
      <c r="Q261">
        <v>5</v>
      </c>
      <c r="R261">
        <v>5</v>
      </c>
      <c r="S261">
        <v>8000</v>
      </c>
      <c r="T261">
        <v>3</v>
      </c>
      <c r="U261">
        <v>125</v>
      </c>
      <c r="V261">
        <v>4709.7000000000007</v>
      </c>
      <c r="W261">
        <v>4</v>
      </c>
      <c r="X261">
        <v>15699</v>
      </c>
      <c r="Y261">
        <f t="shared" si="20"/>
        <v>9834.7000000000007</v>
      </c>
      <c r="Z261">
        <f t="shared" si="21"/>
        <v>5864.2999999999993</v>
      </c>
      <c r="AA261">
        <f t="shared" si="22"/>
        <v>56</v>
      </c>
      <c r="AB261" t="str">
        <f t="shared" si="23"/>
        <v>5435</v>
      </c>
      <c r="AC261" t="str">
        <f t="shared" si="24"/>
        <v>5141315</v>
      </c>
    </row>
    <row r="262" spans="1:29" x14ac:dyDescent="0.3">
      <c r="A262">
        <f>_xlfn.XLOOKUP(E262,Date_Dim!B:B,Date_Dim!A:A)</f>
        <v>1</v>
      </c>
      <c r="B262">
        <v>2021</v>
      </c>
      <c r="C262">
        <v>161</v>
      </c>
      <c r="D262">
        <v>1</v>
      </c>
      <c r="E262" s="1">
        <v>45113</v>
      </c>
      <c r="F262">
        <v>3</v>
      </c>
      <c r="G262" s="1">
        <v>45143</v>
      </c>
      <c r="H262" s="1">
        <v>45171</v>
      </c>
      <c r="I262">
        <v>3</v>
      </c>
      <c r="J262">
        <v>3</v>
      </c>
      <c r="K262">
        <v>1689</v>
      </c>
      <c r="L262">
        <v>3</v>
      </c>
      <c r="M262">
        <v>2000</v>
      </c>
      <c r="N262">
        <v>12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2</v>
      </c>
      <c r="U262">
        <v>175</v>
      </c>
      <c r="V262">
        <v>1475.6000000000001</v>
      </c>
      <c r="W262">
        <v>2</v>
      </c>
      <c r="X262">
        <v>3689</v>
      </c>
      <c r="Y262">
        <f t="shared" si="20"/>
        <v>3650.6000000000004</v>
      </c>
      <c r="Z262">
        <f t="shared" si="21"/>
        <v>38.399999999999636</v>
      </c>
      <c r="AA262">
        <f t="shared" si="22"/>
        <v>28</v>
      </c>
      <c r="AB262" t="str">
        <f t="shared" si="23"/>
        <v>1323</v>
      </c>
      <c r="AC262" t="str">
        <f t="shared" si="24"/>
        <v>1131213</v>
      </c>
    </row>
    <row r="263" spans="1:29" x14ac:dyDescent="0.3">
      <c r="A263">
        <f>_xlfn.XLOOKUP(E263,Date_Dim!B:B,Date_Dim!A:A)</f>
        <v>234</v>
      </c>
      <c r="B263">
        <v>2024</v>
      </c>
      <c r="C263">
        <v>161</v>
      </c>
      <c r="D263">
        <v>1</v>
      </c>
      <c r="E263" s="1">
        <v>44466</v>
      </c>
      <c r="F263">
        <v>6</v>
      </c>
      <c r="G263" s="1">
        <v>44496</v>
      </c>
      <c r="H263" s="1">
        <v>44538</v>
      </c>
      <c r="I263">
        <v>4</v>
      </c>
      <c r="J263">
        <v>4</v>
      </c>
      <c r="K263">
        <v>1999</v>
      </c>
      <c r="L263">
        <v>6</v>
      </c>
      <c r="M263">
        <v>3000</v>
      </c>
      <c r="N263">
        <v>9</v>
      </c>
      <c r="O263">
        <v>1</v>
      </c>
      <c r="P263">
        <v>4</v>
      </c>
      <c r="Q263">
        <v>4</v>
      </c>
      <c r="R263">
        <v>4</v>
      </c>
      <c r="S263">
        <v>0</v>
      </c>
      <c r="T263">
        <v>4</v>
      </c>
      <c r="U263">
        <v>135</v>
      </c>
      <c r="V263">
        <v>1999.6000000000001</v>
      </c>
      <c r="W263">
        <v>5</v>
      </c>
      <c r="X263">
        <v>4999</v>
      </c>
      <c r="Y263">
        <f t="shared" si="20"/>
        <v>5134.6000000000004</v>
      </c>
      <c r="Z263">
        <f t="shared" si="21"/>
        <v>-135.60000000000036</v>
      </c>
      <c r="AA263">
        <f t="shared" si="22"/>
        <v>42</v>
      </c>
      <c r="AB263" t="str">
        <f t="shared" si="23"/>
        <v>4446</v>
      </c>
      <c r="AC263" t="str">
        <f t="shared" si="24"/>
        <v>4141416</v>
      </c>
    </row>
    <row r="264" spans="1:29" x14ac:dyDescent="0.3">
      <c r="A264">
        <f>_xlfn.XLOOKUP(E264,Date_Dim!B:B,Date_Dim!A:A)</f>
        <v>235</v>
      </c>
      <c r="B264">
        <v>2022</v>
      </c>
      <c r="C264">
        <v>162</v>
      </c>
      <c r="D264">
        <v>1</v>
      </c>
      <c r="E264" s="1">
        <v>44201</v>
      </c>
      <c r="F264">
        <v>6</v>
      </c>
      <c r="G264" s="1">
        <v>44231</v>
      </c>
      <c r="H264" s="1">
        <v>44273</v>
      </c>
      <c r="I264">
        <v>4</v>
      </c>
      <c r="J264">
        <v>4</v>
      </c>
      <c r="K264">
        <v>1999</v>
      </c>
      <c r="L264">
        <v>6</v>
      </c>
      <c r="M264">
        <v>3000</v>
      </c>
      <c r="N264">
        <v>9</v>
      </c>
      <c r="O264">
        <v>1</v>
      </c>
      <c r="P264">
        <v>3</v>
      </c>
      <c r="Q264">
        <v>3</v>
      </c>
      <c r="R264">
        <v>3</v>
      </c>
      <c r="S264">
        <v>2000</v>
      </c>
      <c r="T264">
        <v>4</v>
      </c>
      <c r="U264">
        <v>135</v>
      </c>
      <c r="V264">
        <v>2099.7000000000003</v>
      </c>
      <c r="W264">
        <v>7</v>
      </c>
      <c r="X264">
        <v>6999</v>
      </c>
      <c r="Y264">
        <f t="shared" si="20"/>
        <v>5234.7000000000007</v>
      </c>
      <c r="Z264">
        <f t="shared" si="21"/>
        <v>1764.2999999999993</v>
      </c>
      <c r="AA264">
        <f t="shared" si="22"/>
        <v>42</v>
      </c>
      <c r="AB264" t="str">
        <f t="shared" si="23"/>
        <v>3446</v>
      </c>
      <c r="AC264" t="str">
        <f t="shared" si="24"/>
        <v>3141416</v>
      </c>
    </row>
    <row r="265" spans="1:29" x14ac:dyDescent="0.3">
      <c r="A265">
        <f>_xlfn.XLOOKUP(E265,Date_Dim!B:B,Date_Dim!A:A)</f>
        <v>236</v>
      </c>
      <c r="B265">
        <v>2021</v>
      </c>
      <c r="C265">
        <v>163</v>
      </c>
      <c r="D265">
        <v>1</v>
      </c>
      <c r="E265" s="1">
        <v>45387</v>
      </c>
      <c r="F265">
        <v>3</v>
      </c>
      <c r="G265" s="1">
        <v>45417</v>
      </c>
      <c r="H265" s="1">
        <v>45445</v>
      </c>
      <c r="I265">
        <v>3</v>
      </c>
      <c r="J265">
        <v>3</v>
      </c>
      <c r="K265">
        <v>1689</v>
      </c>
      <c r="L265">
        <v>3</v>
      </c>
      <c r="M265">
        <v>2000</v>
      </c>
      <c r="N265">
        <v>12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2</v>
      </c>
      <c r="U265">
        <v>175</v>
      </c>
      <c r="V265">
        <v>1475.6000000000001</v>
      </c>
      <c r="W265">
        <v>2</v>
      </c>
      <c r="X265">
        <v>3689</v>
      </c>
      <c r="Y265">
        <f t="shared" si="20"/>
        <v>3650.6000000000004</v>
      </c>
      <c r="Z265">
        <f t="shared" si="21"/>
        <v>38.399999999999636</v>
      </c>
      <c r="AA265">
        <f t="shared" si="22"/>
        <v>28</v>
      </c>
      <c r="AB265" t="str">
        <f t="shared" si="23"/>
        <v>1323</v>
      </c>
      <c r="AC265" t="str">
        <f t="shared" si="24"/>
        <v>1131213</v>
      </c>
    </row>
    <row r="266" spans="1:29" x14ac:dyDescent="0.3">
      <c r="A266">
        <f>_xlfn.XLOOKUP(E266,Date_Dim!B:B,Date_Dim!A:A)</f>
        <v>237</v>
      </c>
      <c r="B266">
        <v>2024</v>
      </c>
      <c r="C266">
        <v>163</v>
      </c>
      <c r="D266">
        <v>1</v>
      </c>
      <c r="E266" s="1">
        <v>44861</v>
      </c>
      <c r="F266">
        <v>35</v>
      </c>
      <c r="G266" s="1">
        <v>44891</v>
      </c>
      <c r="H266" s="1">
        <v>44919</v>
      </c>
      <c r="I266">
        <v>3</v>
      </c>
      <c r="J266">
        <v>4</v>
      </c>
      <c r="K266">
        <v>1689</v>
      </c>
      <c r="L266">
        <v>15</v>
      </c>
      <c r="M266">
        <v>4000</v>
      </c>
      <c r="N266">
        <v>3</v>
      </c>
      <c r="O266">
        <v>1</v>
      </c>
      <c r="P266">
        <v>4</v>
      </c>
      <c r="Q266">
        <v>4</v>
      </c>
      <c r="R266">
        <v>4</v>
      </c>
      <c r="S266">
        <v>0</v>
      </c>
      <c r="T266">
        <v>5</v>
      </c>
      <c r="U266">
        <v>155</v>
      </c>
      <c r="V266">
        <v>1706.7000000000003</v>
      </c>
      <c r="W266">
        <v>6</v>
      </c>
      <c r="X266">
        <v>5689</v>
      </c>
      <c r="Y266">
        <f t="shared" si="20"/>
        <v>5861.7000000000007</v>
      </c>
      <c r="Z266">
        <f t="shared" si="21"/>
        <v>-172.70000000000073</v>
      </c>
      <c r="AA266">
        <f t="shared" si="22"/>
        <v>28</v>
      </c>
      <c r="AB266" t="str">
        <f t="shared" si="23"/>
        <v>44535</v>
      </c>
      <c r="AC266" t="str">
        <f t="shared" si="24"/>
        <v>41415135</v>
      </c>
    </row>
    <row r="267" spans="1:29" x14ac:dyDescent="0.3">
      <c r="A267">
        <f>_xlfn.XLOOKUP(E267,Date_Dim!B:B,Date_Dim!A:A)</f>
        <v>238</v>
      </c>
      <c r="B267">
        <v>2023</v>
      </c>
      <c r="C267">
        <v>164</v>
      </c>
      <c r="D267">
        <v>1</v>
      </c>
      <c r="E267" s="1">
        <v>43854</v>
      </c>
      <c r="F267">
        <v>5</v>
      </c>
      <c r="G267" s="1">
        <v>43884</v>
      </c>
      <c r="H267" s="1">
        <v>43940</v>
      </c>
      <c r="I267">
        <v>5</v>
      </c>
      <c r="J267">
        <v>4</v>
      </c>
      <c r="K267">
        <v>2699</v>
      </c>
      <c r="L267">
        <v>5</v>
      </c>
      <c r="M267">
        <v>5000</v>
      </c>
      <c r="N267">
        <v>8</v>
      </c>
      <c r="O267">
        <v>1</v>
      </c>
      <c r="P267">
        <v>3</v>
      </c>
      <c r="Q267">
        <v>3</v>
      </c>
      <c r="R267">
        <v>3</v>
      </c>
      <c r="S267">
        <v>2000</v>
      </c>
      <c r="T267">
        <v>4</v>
      </c>
      <c r="U267">
        <v>135</v>
      </c>
      <c r="V267">
        <v>3879.6000000000004</v>
      </c>
      <c r="W267">
        <v>7</v>
      </c>
      <c r="X267">
        <v>9699</v>
      </c>
      <c r="Y267">
        <f t="shared" si="20"/>
        <v>9014.6</v>
      </c>
      <c r="Z267">
        <f t="shared" si="21"/>
        <v>684.39999999999964</v>
      </c>
      <c r="AA267">
        <f t="shared" si="22"/>
        <v>56</v>
      </c>
      <c r="AB267" t="str">
        <f t="shared" si="23"/>
        <v>3445</v>
      </c>
      <c r="AC267" t="str">
        <f t="shared" si="24"/>
        <v>3141415</v>
      </c>
    </row>
    <row r="268" spans="1:29" x14ac:dyDescent="0.3">
      <c r="A268">
        <f>_xlfn.XLOOKUP(E268,Date_Dim!B:B,Date_Dim!A:A)</f>
        <v>239</v>
      </c>
      <c r="B268">
        <v>2023</v>
      </c>
      <c r="C268">
        <v>165</v>
      </c>
      <c r="D268">
        <v>1</v>
      </c>
      <c r="E268" s="1">
        <v>43907</v>
      </c>
      <c r="F268">
        <v>10</v>
      </c>
      <c r="G268" s="1">
        <v>43937</v>
      </c>
      <c r="H268" s="1">
        <v>43951</v>
      </c>
      <c r="I268">
        <v>1</v>
      </c>
      <c r="J268">
        <v>5</v>
      </c>
      <c r="K268">
        <v>1459</v>
      </c>
      <c r="L268">
        <v>9</v>
      </c>
      <c r="M268">
        <v>1000</v>
      </c>
      <c r="N268">
        <v>4</v>
      </c>
      <c r="O268">
        <v>1</v>
      </c>
      <c r="P268">
        <v>4</v>
      </c>
      <c r="Q268">
        <v>4</v>
      </c>
      <c r="R268">
        <v>4</v>
      </c>
      <c r="S268">
        <v>0</v>
      </c>
      <c r="T268">
        <v>5</v>
      </c>
      <c r="U268">
        <v>155</v>
      </c>
      <c r="V268">
        <v>983.6</v>
      </c>
      <c r="W268">
        <v>8</v>
      </c>
      <c r="X268">
        <v>2459</v>
      </c>
      <c r="Y268">
        <f t="shared" si="20"/>
        <v>2138.6</v>
      </c>
      <c r="Z268">
        <f t="shared" si="21"/>
        <v>320.40000000000009</v>
      </c>
      <c r="AA268">
        <f t="shared" si="22"/>
        <v>14</v>
      </c>
      <c r="AB268" t="str">
        <f t="shared" si="23"/>
        <v>45510</v>
      </c>
      <c r="AC268" t="str">
        <f t="shared" si="24"/>
        <v>41515110</v>
      </c>
    </row>
    <row r="269" spans="1:29" x14ac:dyDescent="0.3">
      <c r="A269">
        <f>_xlfn.XLOOKUP(E269,Date_Dim!B:B,Date_Dim!A:A)</f>
        <v>52</v>
      </c>
      <c r="B269">
        <v>2023</v>
      </c>
      <c r="C269">
        <v>166</v>
      </c>
      <c r="D269">
        <v>1</v>
      </c>
      <c r="E269" s="1">
        <v>45461</v>
      </c>
      <c r="F269">
        <v>6</v>
      </c>
      <c r="G269" s="1">
        <v>45491</v>
      </c>
      <c r="H269" s="1">
        <v>45533</v>
      </c>
      <c r="I269">
        <v>4</v>
      </c>
      <c r="J269">
        <v>4</v>
      </c>
      <c r="K269">
        <v>1999</v>
      </c>
      <c r="L269">
        <v>6</v>
      </c>
      <c r="M269">
        <v>3000</v>
      </c>
      <c r="N269">
        <v>9</v>
      </c>
      <c r="O269">
        <v>1</v>
      </c>
      <c r="P269">
        <v>3</v>
      </c>
      <c r="Q269">
        <v>3</v>
      </c>
      <c r="R269">
        <v>3</v>
      </c>
      <c r="S269">
        <v>2000</v>
      </c>
      <c r="T269">
        <v>4</v>
      </c>
      <c r="U269">
        <v>135</v>
      </c>
      <c r="V269">
        <v>2099.7000000000003</v>
      </c>
      <c r="W269">
        <v>7</v>
      </c>
      <c r="X269">
        <v>6999</v>
      </c>
      <c r="Y269">
        <f t="shared" si="20"/>
        <v>5234.7000000000007</v>
      </c>
      <c r="Z269">
        <f t="shared" si="21"/>
        <v>1764.2999999999993</v>
      </c>
      <c r="AA269">
        <f t="shared" si="22"/>
        <v>42</v>
      </c>
      <c r="AB269" t="str">
        <f t="shared" si="23"/>
        <v>3446</v>
      </c>
      <c r="AC269" t="str">
        <f t="shared" si="24"/>
        <v>3141416</v>
      </c>
    </row>
    <row r="270" spans="1:29" x14ac:dyDescent="0.3">
      <c r="A270">
        <f>_xlfn.XLOOKUP(E270,Date_Dim!B:B,Date_Dim!A:A)</f>
        <v>240</v>
      </c>
      <c r="B270">
        <v>2022</v>
      </c>
      <c r="C270">
        <v>167</v>
      </c>
      <c r="D270">
        <v>1</v>
      </c>
      <c r="E270" s="1">
        <v>45192</v>
      </c>
      <c r="F270">
        <v>23</v>
      </c>
      <c r="G270" s="1">
        <v>45222</v>
      </c>
      <c r="H270" s="1">
        <v>45250</v>
      </c>
      <c r="I270">
        <v>3</v>
      </c>
      <c r="J270">
        <v>2</v>
      </c>
      <c r="K270">
        <v>1689</v>
      </c>
      <c r="L270">
        <v>2</v>
      </c>
      <c r="M270">
        <v>3000</v>
      </c>
      <c r="N270">
        <v>14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2</v>
      </c>
      <c r="U270">
        <v>175</v>
      </c>
      <c r="V270">
        <v>1875.6000000000001</v>
      </c>
      <c r="W270">
        <v>2</v>
      </c>
      <c r="X270">
        <v>4689</v>
      </c>
      <c r="Y270">
        <f t="shared" si="20"/>
        <v>5050.6000000000004</v>
      </c>
      <c r="Z270">
        <f t="shared" si="21"/>
        <v>-361.60000000000036</v>
      </c>
      <c r="AA270">
        <f t="shared" si="22"/>
        <v>28</v>
      </c>
      <c r="AB270" t="str">
        <f t="shared" si="23"/>
        <v>12223</v>
      </c>
      <c r="AC270" t="str">
        <f t="shared" si="24"/>
        <v>11212123</v>
      </c>
    </row>
    <row r="271" spans="1:29" x14ac:dyDescent="0.3">
      <c r="A271">
        <f>_xlfn.XLOOKUP(E271,Date_Dim!B:B,Date_Dim!A:A)</f>
        <v>241</v>
      </c>
      <c r="B271">
        <v>2024</v>
      </c>
      <c r="C271">
        <v>167</v>
      </c>
      <c r="D271">
        <v>1</v>
      </c>
      <c r="E271" s="1">
        <v>45257</v>
      </c>
      <c r="F271">
        <v>19</v>
      </c>
      <c r="G271" s="1">
        <v>45287</v>
      </c>
      <c r="H271" s="1">
        <v>45343</v>
      </c>
      <c r="I271">
        <v>5</v>
      </c>
      <c r="J271">
        <v>6</v>
      </c>
      <c r="K271">
        <v>2699</v>
      </c>
      <c r="L271">
        <v>8</v>
      </c>
      <c r="M271">
        <v>3200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6000</v>
      </c>
      <c r="T271">
        <v>2</v>
      </c>
      <c r="U271">
        <v>175</v>
      </c>
      <c r="V271">
        <v>3569.7000000000007</v>
      </c>
      <c r="W271">
        <v>3</v>
      </c>
      <c r="X271">
        <v>11899</v>
      </c>
      <c r="Y271">
        <f t="shared" si="20"/>
        <v>6944.7000000000007</v>
      </c>
      <c r="Z271">
        <f t="shared" si="21"/>
        <v>4954.2999999999993</v>
      </c>
      <c r="AA271">
        <f t="shared" si="22"/>
        <v>56</v>
      </c>
      <c r="AB271" t="str">
        <f t="shared" si="23"/>
        <v>26219</v>
      </c>
      <c r="AC271" t="str">
        <f t="shared" si="24"/>
        <v>21612119</v>
      </c>
    </row>
    <row r="272" spans="1:29" x14ac:dyDescent="0.3">
      <c r="A272">
        <f>_xlfn.XLOOKUP(E272,Date_Dim!B:B,Date_Dim!A:A)</f>
        <v>242</v>
      </c>
      <c r="B272">
        <v>2024</v>
      </c>
      <c r="C272">
        <v>168</v>
      </c>
      <c r="D272">
        <v>1</v>
      </c>
      <c r="E272" s="1">
        <v>45393</v>
      </c>
      <c r="F272">
        <v>5</v>
      </c>
      <c r="G272" s="1">
        <v>45423</v>
      </c>
      <c r="H272" s="1">
        <v>45479</v>
      </c>
      <c r="I272">
        <v>5</v>
      </c>
      <c r="J272">
        <v>4</v>
      </c>
      <c r="K272">
        <v>2699</v>
      </c>
      <c r="L272">
        <v>5</v>
      </c>
      <c r="M272">
        <v>5000</v>
      </c>
      <c r="N272">
        <v>8</v>
      </c>
      <c r="O272">
        <v>1</v>
      </c>
      <c r="P272">
        <v>3</v>
      </c>
      <c r="Q272">
        <v>3</v>
      </c>
      <c r="R272">
        <v>3</v>
      </c>
      <c r="S272">
        <v>2000</v>
      </c>
      <c r="T272">
        <v>3</v>
      </c>
      <c r="U272">
        <v>125</v>
      </c>
      <c r="V272">
        <v>3879.6000000000004</v>
      </c>
      <c r="W272">
        <v>4</v>
      </c>
      <c r="X272">
        <v>9699</v>
      </c>
      <c r="Y272">
        <f t="shared" si="20"/>
        <v>9004.6</v>
      </c>
      <c r="Z272">
        <f t="shared" si="21"/>
        <v>694.39999999999964</v>
      </c>
      <c r="AA272">
        <f t="shared" si="22"/>
        <v>56</v>
      </c>
      <c r="AB272" t="str">
        <f t="shared" si="23"/>
        <v>3435</v>
      </c>
      <c r="AC272" t="str">
        <f t="shared" si="24"/>
        <v>3141315</v>
      </c>
    </row>
    <row r="273" spans="1:29" x14ac:dyDescent="0.3">
      <c r="A273">
        <f>_xlfn.XLOOKUP(E273,Date_Dim!B:B,Date_Dim!A:A)</f>
        <v>214</v>
      </c>
      <c r="B273">
        <v>2022</v>
      </c>
      <c r="C273">
        <v>168</v>
      </c>
      <c r="D273">
        <v>1</v>
      </c>
      <c r="E273" s="1">
        <v>43922</v>
      </c>
      <c r="F273">
        <v>11</v>
      </c>
      <c r="G273" s="1">
        <v>43952</v>
      </c>
      <c r="H273" s="1">
        <v>43966</v>
      </c>
      <c r="I273">
        <v>1</v>
      </c>
      <c r="J273">
        <v>2</v>
      </c>
      <c r="K273">
        <v>1459</v>
      </c>
      <c r="L273">
        <v>10</v>
      </c>
      <c r="M273">
        <v>2000</v>
      </c>
      <c r="N273">
        <v>6</v>
      </c>
      <c r="O273">
        <v>1</v>
      </c>
      <c r="P273">
        <v>2</v>
      </c>
      <c r="Q273">
        <v>2</v>
      </c>
      <c r="R273">
        <v>2</v>
      </c>
      <c r="S273">
        <v>6000</v>
      </c>
      <c r="T273">
        <v>2</v>
      </c>
      <c r="U273">
        <v>175</v>
      </c>
      <c r="V273">
        <v>3783.6000000000004</v>
      </c>
      <c r="W273">
        <v>3</v>
      </c>
      <c r="X273">
        <v>9459</v>
      </c>
      <c r="Y273">
        <f t="shared" si="20"/>
        <v>5958.6</v>
      </c>
      <c r="Z273">
        <f t="shared" si="21"/>
        <v>3500.3999999999996</v>
      </c>
      <c r="AA273">
        <f t="shared" si="22"/>
        <v>14</v>
      </c>
      <c r="AB273" t="str">
        <f t="shared" si="23"/>
        <v>22211</v>
      </c>
      <c r="AC273" t="str">
        <f t="shared" si="24"/>
        <v>21212111</v>
      </c>
    </row>
    <row r="274" spans="1:29" x14ac:dyDescent="0.3">
      <c r="A274">
        <f>_xlfn.XLOOKUP(E274,Date_Dim!B:B,Date_Dim!A:A)</f>
        <v>243</v>
      </c>
      <c r="B274">
        <v>2024</v>
      </c>
      <c r="C274">
        <v>169</v>
      </c>
      <c r="D274">
        <v>1</v>
      </c>
      <c r="E274" s="1">
        <v>44814</v>
      </c>
      <c r="F274">
        <v>24</v>
      </c>
      <c r="G274" s="1">
        <v>44844</v>
      </c>
      <c r="H274" s="1">
        <v>44886</v>
      </c>
      <c r="I274">
        <v>4</v>
      </c>
      <c r="J274">
        <v>3</v>
      </c>
      <c r="K274">
        <v>1999</v>
      </c>
      <c r="L274">
        <v>3</v>
      </c>
      <c r="M274">
        <v>3000</v>
      </c>
      <c r="N274">
        <v>12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2</v>
      </c>
      <c r="U274">
        <v>175</v>
      </c>
      <c r="V274">
        <v>1999.6000000000001</v>
      </c>
      <c r="W274">
        <v>2</v>
      </c>
      <c r="X274">
        <v>4999</v>
      </c>
      <c r="Y274">
        <f t="shared" si="20"/>
        <v>5174.6000000000004</v>
      </c>
      <c r="Z274">
        <f t="shared" si="21"/>
        <v>-175.60000000000036</v>
      </c>
      <c r="AA274">
        <f t="shared" si="22"/>
        <v>42</v>
      </c>
      <c r="AB274" t="str">
        <f t="shared" si="23"/>
        <v>13224</v>
      </c>
      <c r="AC274" t="str">
        <f t="shared" si="24"/>
        <v>11312124</v>
      </c>
    </row>
    <row r="275" spans="1:29" x14ac:dyDescent="0.3">
      <c r="A275">
        <f>_xlfn.XLOOKUP(E275,Date_Dim!B:B,Date_Dim!A:A)</f>
        <v>244</v>
      </c>
      <c r="B275">
        <v>2021</v>
      </c>
      <c r="C275">
        <v>169</v>
      </c>
      <c r="D275">
        <v>1</v>
      </c>
      <c r="E275" s="1">
        <v>45401</v>
      </c>
      <c r="F275">
        <v>6</v>
      </c>
      <c r="G275" s="1">
        <v>45431</v>
      </c>
      <c r="H275" s="1">
        <v>45473</v>
      </c>
      <c r="I275">
        <v>4</v>
      </c>
      <c r="J275">
        <v>4</v>
      </c>
      <c r="K275">
        <v>1999</v>
      </c>
      <c r="L275">
        <v>6</v>
      </c>
      <c r="M275">
        <v>3000</v>
      </c>
      <c r="N275">
        <v>9</v>
      </c>
      <c r="O275">
        <v>1</v>
      </c>
      <c r="P275">
        <v>4</v>
      </c>
      <c r="Q275">
        <v>4</v>
      </c>
      <c r="R275">
        <v>4</v>
      </c>
      <c r="S275">
        <v>0</v>
      </c>
      <c r="T275">
        <v>4</v>
      </c>
      <c r="U275">
        <v>135</v>
      </c>
      <c r="V275">
        <v>1499.7000000000003</v>
      </c>
      <c r="W275">
        <v>5</v>
      </c>
      <c r="X275">
        <v>4999</v>
      </c>
      <c r="Y275">
        <f t="shared" si="20"/>
        <v>4634.7000000000007</v>
      </c>
      <c r="Z275">
        <f t="shared" si="21"/>
        <v>364.29999999999927</v>
      </c>
      <c r="AA275">
        <f t="shared" si="22"/>
        <v>42</v>
      </c>
      <c r="AB275" t="str">
        <f t="shared" si="23"/>
        <v>4446</v>
      </c>
      <c r="AC275" t="str">
        <f t="shared" si="24"/>
        <v>4141416</v>
      </c>
    </row>
    <row r="276" spans="1:29" x14ac:dyDescent="0.3">
      <c r="A276">
        <f>_xlfn.XLOOKUP(E276,Date_Dim!B:B,Date_Dim!A:A)</f>
        <v>245</v>
      </c>
      <c r="B276">
        <v>2024</v>
      </c>
      <c r="C276">
        <v>170</v>
      </c>
      <c r="D276">
        <v>2</v>
      </c>
      <c r="E276" s="1">
        <v>44965</v>
      </c>
      <c r="F276">
        <v>36</v>
      </c>
      <c r="G276" s="1">
        <v>44995</v>
      </c>
      <c r="H276" s="1">
        <v>45009</v>
      </c>
      <c r="I276">
        <v>1</v>
      </c>
      <c r="J276">
        <v>5</v>
      </c>
      <c r="K276">
        <v>1459</v>
      </c>
      <c r="L276">
        <v>16</v>
      </c>
      <c r="M276">
        <v>3000</v>
      </c>
      <c r="N276">
        <v>13</v>
      </c>
      <c r="O276">
        <v>1</v>
      </c>
      <c r="P276">
        <v>4</v>
      </c>
      <c r="Q276">
        <v>4</v>
      </c>
      <c r="R276">
        <v>4</v>
      </c>
      <c r="S276">
        <v>0</v>
      </c>
      <c r="T276">
        <v>5</v>
      </c>
      <c r="U276">
        <v>155</v>
      </c>
      <c r="V276">
        <v>1337.7000000000003</v>
      </c>
      <c r="W276">
        <v>8</v>
      </c>
      <c r="X276">
        <v>4459</v>
      </c>
      <c r="Y276">
        <f t="shared" si="20"/>
        <v>4492.7000000000007</v>
      </c>
      <c r="Z276">
        <f t="shared" si="21"/>
        <v>-33.700000000000728</v>
      </c>
      <c r="AA276">
        <f t="shared" si="22"/>
        <v>14</v>
      </c>
      <c r="AB276" t="str">
        <f t="shared" si="23"/>
        <v>45536</v>
      </c>
      <c r="AC276" t="str">
        <f t="shared" si="24"/>
        <v>41515136</v>
      </c>
    </row>
    <row r="277" spans="1:29" x14ac:dyDescent="0.3">
      <c r="A277">
        <f>_xlfn.XLOOKUP(E277,Date_Dim!B:B,Date_Dim!A:A)</f>
        <v>201</v>
      </c>
      <c r="B277">
        <v>2020</v>
      </c>
      <c r="C277">
        <v>170</v>
      </c>
      <c r="D277">
        <v>2</v>
      </c>
      <c r="E277" s="1">
        <v>45584</v>
      </c>
      <c r="F277">
        <v>27</v>
      </c>
      <c r="G277" s="1">
        <v>45614</v>
      </c>
      <c r="H277" s="1">
        <v>45642</v>
      </c>
      <c r="I277">
        <v>3</v>
      </c>
      <c r="J277">
        <v>1</v>
      </c>
      <c r="K277">
        <v>1689</v>
      </c>
      <c r="L277">
        <v>1</v>
      </c>
      <c r="M277">
        <v>4000</v>
      </c>
      <c r="N277">
        <v>15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0</v>
      </c>
      <c r="V277">
        <v>2275.6</v>
      </c>
      <c r="W277">
        <v>1</v>
      </c>
      <c r="X277">
        <v>5689</v>
      </c>
      <c r="Y277">
        <f t="shared" si="20"/>
        <v>6275.6</v>
      </c>
      <c r="Z277">
        <f t="shared" si="21"/>
        <v>-586.60000000000036</v>
      </c>
      <c r="AA277">
        <f t="shared" si="22"/>
        <v>28</v>
      </c>
      <c r="AB277" t="str">
        <f t="shared" si="23"/>
        <v>11127</v>
      </c>
      <c r="AC277" t="str">
        <f t="shared" si="24"/>
        <v>11111127</v>
      </c>
    </row>
    <row r="278" spans="1:29" x14ac:dyDescent="0.3">
      <c r="A278">
        <f>_xlfn.XLOOKUP(E278,Date_Dim!B:B,Date_Dim!A:A)</f>
        <v>246</v>
      </c>
      <c r="B278">
        <v>2023</v>
      </c>
      <c r="C278">
        <v>171</v>
      </c>
      <c r="D278">
        <v>2</v>
      </c>
      <c r="E278" s="1">
        <v>44810</v>
      </c>
      <c r="F278">
        <v>26</v>
      </c>
      <c r="G278" s="1">
        <v>44840</v>
      </c>
      <c r="H278" s="1">
        <v>44861</v>
      </c>
      <c r="I278">
        <v>2</v>
      </c>
      <c r="J278">
        <v>6</v>
      </c>
      <c r="K278">
        <v>1559</v>
      </c>
      <c r="L278">
        <v>11</v>
      </c>
      <c r="M278">
        <v>2200</v>
      </c>
      <c r="N278">
        <v>7</v>
      </c>
      <c r="O278">
        <v>1</v>
      </c>
      <c r="P278">
        <v>2</v>
      </c>
      <c r="Q278">
        <v>2</v>
      </c>
      <c r="R278">
        <v>2</v>
      </c>
      <c r="S278">
        <v>6000</v>
      </c>
      <c r="T278">
        <v>7</v>
      </c>
      <c r="U278">
        <v>25</v>
      </c>
      <c r="V278">
        <v>2927.7000000000003</v>
      </c>
      <c r="W278">
        <v>3</v>
      </c>
      <c r="X278">
        <v>9759</v>
      </c>
      <c r="Y278">
        <f t="shared" si="20"/>
        <v>5152.7000000000007</v>
      </c>
      <c r="Z278">
        <f t="shared" si="21"/>
        <v>4606.2999999999993</v>
      </c>
      <c r="AA278">
        <f t="shared" si="22"/>
        <v>21</v>
      </c>
      <c r="AB278" t="str">
        <f t="shared" si="23"/>
        <v>26726</v>
      </c>
      <c r="AC278" t="str">
        <f t="shared" si="24"/>
        <v>21617126</v>
      </c>
    </row>
    <row r="279" spans="1:29" x14ac:dyDescent="0.3">
      <c r="A279">
        <f>_xlfn.XLOOKUP(E279,Date_Dim!B:B,Date_Dim!A:A)</f>
        <v>247</v>
      </c>
      <c r="B279">
        <v>2024</v>
      </c>
      <c r="C279">
        <v>172</v>
      </c>
      <c r="D279">
        <v>2</v>
      </c>
      <c r="E279" s="1">
        <v>44120</v>
      </c>
      <c r="F279">
        <v>28</v>
      </c>
      <c r="G279" s="1">
        <v>44150</v>
      </c>
      <c r="H279" s="1">
        <v>44178</v>
      </c>
      <c r="I279">
        <v>3</v>
      </c>
      <c r="J279">
        <v>3</v>
      </c>
      <c r="K279">
        <v>1689</v>
      </c>
      <c r="L279">
        <v>14</v>
      </c>
      <c r="M279">
        <v>2200</v>
      </c>
      <c r="N279">
        <v>10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2</v>
      </c>
      <c r="U279">
        <v>175</v>
      </c>
      <c r="V279">
        <v>1166.7000000000003</v>
      </c>
      <c r="W279">
        <v>2</v>
      </c>
      <c r="X279">
        <v>3889</v>
      </c>
      <c r="Y279">
        <f t="shared" si="20"/>
        <v>3541.7000000000003</v>
      </c>
      <c r="Z279">
        <f t="shared" si="21"/>
        <v>347.29999999999973</v>
      </c>
      <c r="AA279">
        <f t="shared" si="22"/>
        <v>28</v>
      </c>
      <c r="AB279" t="str">
        <f t="shared" si="23"/>
        <v>13228</v>
      </c>
      <c r="AC279" t="str">
        <f t="shared" si="24"/>
        <v>11312128</v>
      </c>
    </row>
    <row r="280" spans="1:29" x14ac:dyDescent="0.3">
      <c r="A280">
        <f>_xlfn.XLOOKUP(E280,Date_Dim!B:B,Date_Dim!A:A)</f>
        <v>248</v>
      </c>
      <c r="B280">
        <v>2021</v>
      </c>
      <c r="C280">
        <v>172</v>
      </c>
      <c r="D280">
        <v>2</v>
      </c>
      <c r="E280" s="1">
        <v>43923</v>
      </c>
      <c r="F280">
        <v>29</v>
      </c>
      <c r="G280" s="1">
        <v>43953</v>
      </c>
      <c r="H280" s="1">
        <v>43981</v>
      </c>
      <c r="I280">
        <v>3</v>
      </c>
      <c r="J280">
        <v>4</v>
      </c>
      <c r="K280">
        <v>1689</v>
      </c>
      <c r="L280">
        <v>15</v>
      </c>
      <c r="M280">
        <v>3500</v>
      </c>
      <c r="N280">
        <v>3</v>
      </c>
      <c r="O280">
        <v>1</v>
      </c>
      <c r="P280">
        <v>4</v>
      </c>
      <c r="Q280">
        <v>4</v>
      </c>
      <c r="R280">
        <v>4</v>
      </c>
      <c r="S280">
        <v>0</v>
      </c>
      <c r="T280">
        <v>5</v>
      </c>
      <c r="U280">
        <v>155</v>
      </c>
      <c r="V280">
        <v>1556.7000000000003</v>
      </c>
      <c r="W280">
        <v>6</v>
      </c>
      <c r="X280">
        <v>5189</v>
      </c>
      <c r="Y280">
        <f t="shared" si="20"/>
        <v>5211.7000000000007</v>
      </c>
      <c r="Z280">
        <f t="shared" si="21"/>
        <v>-22.700000000000728</v>
      </c>
      <c r="AA280">
        <f t="shared" si="22"/>
        <v>28</v>
      </c>
      <c r="AB280" t="str">
        <f t="shared" si="23"/>
        <v>44529</v>
      </c>
      <c r="AC280" t="str">
        <f t="shared" si="24"/>
        <v>41415129</v>
      </c>
    </row>
    <row r="281" spans="1:29" x14ac:dyDescent="0.3">
      <c r="A281">
        <f>_xlfn.XLOOKUP(E281,Date_Dim!B:B,Date_Dim!A:A)</f>
        <v>249</v>
      </c>
      <c r="B281">
        <v>2022</v>
      </c>
      <c r="C281">
        <v>173</v>
      </c>
      <c r="D281">
        <v>2</v>
      </c>
      <c r="E281" s="1">
        <v>43916</v>
      </c>
      <c r="F281">
        <v>5</v>
      </c>
      <c r="G281" s="1">
        <v>43946</v>
      </c>
      <c r="H281" s="1">
        <v>44002</v>
      </c>
      <c r="I281">
        <v>5</v>
      </c>
      <c r="J281">
        <v>4</v>
      </c>
      <c r="K281">
        <v>2699</v>
      </c>
      <c r="L281">
        <v>5</v>
      </c>
      <c r="M281">
        <v>5000</v>
      </c>
      <c r="N281">
        <v>8</v>
      </c>
      <c r="O281">
        <v>1</v>
      </c>
      <c r="P281">
        <v>3</v>
      </c>
      <c r="Q281">
        <v>3</v>
      </c>
      <c r="R281">
        <v>3</v>
      </c>
      <c r="S281">
        <v>2000</v>
      </c>
      <c r="T281">
        <v>4</v>
      </c>
      <c r="U281">
        <v>135</v>
      </c>
      <c r="V281">
        <v>3879.6000000000004</v>
      </c>
      <c r="W281">
        <v>4</v>
      </c>
      <c r="X281">
        <v>9699</v>
      </c>
      <c r="Y281">
        <f t="shared" si="20"/>
        <v>9014.6</v>
      </c>
      <c r="Z281">
        <f t="shared" si="21"/>
        <v>684.39999999999964</v>
      </c>
      <c r="AA281">
        <f t="shared" si="22"/>
        <v>56</v>
      </c>
      <c r="AB281" t="str">
        <f t="shared" si="23"/>
        <v>3445</v>
      </c>
      <c r="AC281" t="str">
        <f t="shared" si="24"/>
        <v>3141415</v>
      </c>
    </row>
    <row r="282" spans="1:29" x14ac:dyDescent="0.3">
      <c r="A282">
        <f>_xlfn.XLOOKUP(E282,Date_Dim!B:B,Date_Dim!A:A)</f>
        <v>250</v>
      </c>
      <c r="B282">
        <v>2020</v>
      </c>
      <c r="C282">
        <v>174</v>
      </c>
      <c r="D282">
        <v>2</v>
      </c>
      <c r="E282" s="1">
        <v>44761</v>
      </c>
      <c r="F282">
        <v>2</v>
      </c>
      <c r="G282" s="1">
        <v>44791</v>
      </c>
      <c r="H282" s="1">
        <v>44833</v>
      </c>
      <c r="I282">
        <v>4</v>
      </c>
      <c r="J282">
        <v>2</v>
      </c>
      <c r="K282">
        <v>1999</v>
      </c>
      <c r="L282">
        <v>2</v>
      </c>
      <c r="M282">
        <v>4000</v>
      </c>
      <c r="N282">
        <v>14</v>
      </c>
      <c r="O282">
        <v>1</v>
      </c>
      <c r="P282">
        <v>1</v>
      </c>
      <c r="Q282">
        <v>1</v>
      </c>
      <c r="R282">
        <v>1</v>
      </c>
      <c r="S282">
        <v>0</v>
      </c>
      <c r="T282">
        <v>2</v>
      </c>
      <c r="U282">
        <v>175</v>
      </c>
      <c r="V282">
        <v>1799.7000000000003</v>
      </c>
      <c r="W282">
        <v>2</v>
      </c>
      <c r="X282">
        <v>5999</v>
      </c>
      <c r="Y282">
        <f t="shared" si="20"/>
        <v>5974.7000000000007</v>
      </c>
      <c r="Z282">
        <f t="shared" si="21"/>
        <v>24.299999999999272</v>
      </c>
      <c r="AA282">
        <f t="shared" si="22"/>
        <v>42</v>
      </c>
      <c r="AB282" t="str">
        <f t="shared" si="23"/>
        <v>1222</v>
      </c>
      <c r="AC282" t="str">
        <f t="shared" si="24"/>
        <v>1121212</v>
      </c>
    </row>
    <row r="283" spans="1:29" x14ac:dyDescent="0.3">
      <c r="A283">
        <f>_xlfn.XLOOKUP(E283,Date_Dim!B:B,Date_Dim!A:A)</f>
        <v>251</v>
      </c>
      <c r="B283">
        <v>2023</v>
      </c>
      <c r="C283">
        <v>174</v>
      </c>
      <c r="D283">
        <v>2</v>
      </c>
      <c r="E283" s="1">
        <v>44788</v>
      </c>
      <c r="F283">
        <v>3</v>
      </c>
      <c r="G283" s="1">
        <v>44818</v>
      </c>
      <c r="H283" s="1">
        <v>44846</v>
      </c>
      <c r="I283">
        <v>3</v>
      </c>
      <c r="J283">
        <v>3</v>
      </c>
      <c r="K283">
        <v>1689</v>
      </c>
      <c r="L283">
        <v>3</v>
      </c>
      <c r="M283">
        <v>2000</v>
      </c>
      <c r="N283">
        <v>12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2</v>
      </c>
      <c r="U283">
        <v>175</v>
      </c>
      <c r="V283">
        <v>1475.6000000000001</v>
      </c>
      <c r="W283">
        <v>2</v>
      </c>
      <c r="X283">
        <v>3689</v>
      </c>
      <c r="Y283">
        <f t="shared" si="20"/>
        <v>3650.6000000000004</v>
      </c>
      <c r="Z283">
        <f t="shared" si="21"/>
        <v>38.399999999999636</v>
      </c>
      <c r="AA283">
        <f t="shared" si="22"/>
        <v>28</v>
      </c>
      <c r="AB283" t="str">
        <f t="shared" si="23"/>
        <v>1323</v>
      </c>
      <c r="AC283" t="str">
        <f t="shared" si="24"/>
        <v>1131213</v>
      </c>
    </row>
    <row r="284" spans="1:29" x14ac:dyDescent="0.3">
      <c r="A284">
        <f>_xlfn.XLOOKUP(E284,Date_Dim!B:B,Date_Dim!A:A)</f>
        <v>252</v>
      </c>
      <c r="B284">
        <v>2022</v>
      </c>
      <c r="C284">
        <v>175</v>
      </c>
      <c r="D284">
        <v>2</v>
      </c>
      <c r="E284" s="1">
        <v>45337</v>
      </c>
      <c r="F284">
        <v>22</v>
      </c>
      <c r="G284" s="1">
        <v>45367</v>
      </c>
      <c r="H284" s="1">
        <v>45388</v>
      </c>
      <c r="I284">
        <v>2</v>
      </c>
      <c r="J284">
        <v>6</v>
      </c>
      <c r="K284">
        <v>1559</v>
      </c>
      <c r="L284">
        <v>8</v>
      </c>
      <c r="M284">
        <v>2600</v>
      </c>
      <c r="N284">
        <v>2</v>
      </c>
      <c r="O284">
        <v>1</v>
      </c>
      <c r="P284">
        <v>2</v>
      </c>
      <c r="Q284">
        <v>2</v>
      </c>
      <c r="R284">
        <v>2</v>
      </c>
      <c r="S284">
        <v>6000</v>
      </c>
      <c r="T284">
        <v>7</v>
      </c>
      <c r="U284">
        <v>25</v>
      </c>
      <c r="V284">
        <v>3047.7000000000003</v>
      </c>
      <c r="W284">
        <v>3</v>
      </c>
      <c r="X284">
        <v>10159</v>
      </c>
      <c r="Y284">
        <f t="shared" si="20"/>
        <v>5672.7000000000007</v>
      </c>
      <c r="Z284">
        <f t="shared" si="21"/>
        <v>4486.2999999999993</v>
      </c>
      <c r="AA284">
        <f t="shared" si="22"/>
        <v>21</v>
      </c>
      <c r="AB284" t="str">
        <f t="shared" si="23"/>
        <v>26722</v>
      </c>
      <c r="AC284" t="str">
        <f t="shared" si="24"/>
        <v>21617122</v>
      </c>
    </row>
    <row r="285" spans="1:29" x14ac:dyDescent="0.3">
      <c r="A285">
        <f>_xlfn.XLOOKUP(E285,Date_Dim!B:B,Date_Dim!A:A)</f>
        <v>253</v>
      </c>
      <c r="B285">
        <v>2024</v>
      </c>
      <c r="C285">
        <v>175</v>
      </c>
      <c r="D285">
        <v>2</v>
      </c>
      <c r="E285" s="1">
        <v>45002</v>
      </c>
      <c r="F285">
        <v>6</v>
      </c>
      <c r="G285" s="1">
        <v>45032</v>
      </c>
      <c r="H285" s="1">
        <v>45074</v>
      </c>
      <c r="I285">
        <v>4</v>
      </c>
      <c r="J285">
        <v>4</v>
      </c>
      <c r="K285">
        <v>1999</v>
      </c>
      <c r="L285">
        <v>6</v>
      </c>
      <c r="M285">
        <v>3000</v>
      </c>
      <c r="N285">
        <v>9</v>
      </c>
      <c r="O285">
        <v>1</v>
      </c>
      <c r="P285">
        <v>3</v>
      </c>
      <c r="Q285">
        <v>3</v>
      </c>
      <c r="R285">
        <v>3</v>
      </c>
      <c r="S285">
        <v>2000</v>
      </c>
      <c r="T285">
        <v>4</v>
      </c>
      <c r="U285">
        <v>135</v>
      </c>
      <c r="V285">
        <v>2799.6000000000004</v>
      </c>
      <c r="W285">
        <v>7</v>
      </c>
      <c r="X285">
        <v>6999</v>
      </c>
      <c r="Y285">
        <f t="shared" si="20"/>
        <v>5934.6</v>
      </c>
      <c r="Z285">
        <f t="shared" si="21"/>
        <v>1064.3999999999996</v>
      </c>
      <c r="AA285">
        <f t="shared" si="22"/>
        <v>42</v>
      </c>
      <c r="AB285" t="str">
        <f t="shared" si="23"/>
        <v>3446</v>
      </c>
      <c r="AC285" t="str">
        <f t="shared" si="24"/>
        <v>3141416</v>
      </c>
    </row>
    <row r="286" spans="1:29" x14ac:dyDescent="0.3">
      <c r="A286">
        <f>_xlfn.XLOOKUP(E286,Date_Dim!B:B,Date_Dim!A:A)</f>
        <v>254</v>
      </c>
      <c r="B286">
        <v>2024</v>
      </c>
      <c r="C286">
        <v>176</v>
      </c>
      <c r="D286">
        <v>2</v>
      </c>
      <c r="E286" s="1">
        <v>43975</v>
      </c>
      <c r="F286">
        <v>2</v>
      </c>
      <c r="G286" s="1">
        <v>44005</v>
      </c>
      <c r="H286" s="1">
        <v>44047</v>
      </c>
      <c r="I286">
        <v>4</v>
      </c>
      <c r="J286">
        <v>2</v>
      </c>
      <c r="K286">
        <v>1999</v>
      </c>
      <c r="L286">
        <v>2</v>
      </c>
      <c r="M286">
        <v>4000</v>
      </c>
      <c r="N286">
        <v>14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2</v>
      </c>
      <c r="U286">
        <v>175</v>
      </c>
      <c r="V286">
        <v>2399.6</v>
      </c>
      <c r="W286">
        <v>2</v>
      </c>
      <c r="X286">
        <v>5999</v>
      </c>
      <c r="Y286">
        <f t="shared" si="20"/>
        <v>6574.6</v>
      </c>
      <c r="Z286">
        <f t="shared" si="21"/>
        <v>-575.60000000000036</v>
      </c>
      <c r="AA286">
        <f t="shared" si="22"/>
        <v>42</v>
      </c>
      <c r="AB286" t="str">
        <f t="shared" si="23"/>
        <v>1222</v>
      </c>
      <c r="AC286" t="str">
        <f t="shared" si="24"/>
        <v>1121212</v>
      </c>
    </row>
    <row r="287" spans="1:29" x14ac:dyDescent="0.3">
      <c r="A287">
        <f>_xlfn.XLOOKUP(E287,Date_Dim!B:B,Date_Dim!A:A)</f>
        <v>255</v>
      </c>
      <c r="B287">
        <v>2024</v>
      </c>
      <c r="C287">
        <v>176</v>
      </c>
      <c r="D287">
        <v>2</v>
      </c>
      <c r="E287" s="1">
        <v>44088</v>
      </c>
      <c r="F287">
        <v>18</v>
      </c>
      <c r="G287" s="1">
        <v>44118</v>
      </c>
      <c r="H287" s="1">
        <v>44146</v>
      </c>
      <c r="I287">
        <v>3</v>
      </c>
      <c r="J287">
        <v>2</v>
      </c>
      <c r="K287">
        <v>1689</v>
      </c>
      <c r="L287">
        <v>10</v>
      </c>
      <c r="M287">
        <v>2500</v>
      </c>
      <c r="N287">
        <v>6</v>
      </c>
      <c r="O287">
        <v>1</v>
      </c>
      <c r="P287">
        <v>2</v>
      </c>
      <c r="Q287">
        <v>2</v>
      </c>
      <c r="R287">
        <v>2</v>
      </c>
      <c r="S287">
        <v>6000</v>
      </c>
      <c r="T287">
        <v>2</v>
      </c>
      <c r="U287">
        <v>175</v>
      </c>
      <c r="V287">
        <v>4075.6000000000004</v>
      </c>
      <c r="W287">
        <v>3</v>
      </c>
      <c r="X287">
        <v>10189</v>
      </c>
      <c r="Y287">
        <f t="shared" si="20"/>
        <v>6750.6</v>
      </c>
      <c r="Z287">
        <f t="shared" si="21"/>
        <v>3438.3999999999996</v>
      </c>
      <c r="AA287">
        <f t="shared" si="22"/>
        <v>28</v>
      </c>
      <c r="AB287" t="str">
        <f t="shared" si="23"/>
        <v>22218</v>
      </c>
      <c r="AC287" t="str">
        <f t="shared" si="24"/>
        <v>21212118</v>
      </c>
    </row>
    <row r="288" spans="1:29" x14ac:dyDescent="0.3">
      <c r="A288">
        <f>_xlfn.XLOOKUP(E288,Date_Dim!B:B,Date_Dim!A:A)</f>
        <v>256</v>
      </c>
      <c r="B288">
        <v>2023</v>
      </c>
      <c r="C288">
        <v>176</v>
      </c>
      <c r="D288">
        <v>2</v>
      </c>
      <c r="E288" s="1">
        <v>44492</v>
      </c>
      <c r="F288">
        <v>5</v>
      </c>
      <c r="G288" s="1">
        <v>44522</v>
      </c>
      <c r="H288" s="1">
        <v>44578</v>
      </c>
      <c r="I288">
        <v>5</v>
      </c>
      <c r="J288">
        <v>4</v>
      </c>
      <c r="K288">
        <v>2699</v>
      </c>
      <c r="L288">
        <v>5</v>
      </c>
      <c r="M288">
        <v>5000</v>
      </c>
      <c r="N288">
        <v>8</v>
      </c>
      <c r="O288">
        <v>1</v>
      </c>
      <c r="P288">
        <v>5</v>
      </c>
      <c r="Q288">
        <v>5</v>
      </c>
      <c r="R288">
        <v>5</v>
      </c>
      <c r="S288">
        <v>8000</v>
      </c>
      <c r="T288">
        <v>3</v>
      </c>
      <c r="U288">
        <v>125</v>
      </c>
      <c r="V288">
        <v>6279.6</v>
      </c>
      <c r="W288">
        <v>4</v>
      </c>
      <c r="X288">
        <v>15699</v>
      </c>
      <c r="Y288">
        <f t="shared" si="20"/>
        <v>11404.6</v>
      </c>
      <c r="Z288">
        <f t="shared" si="21"/>
        <v>4294.3999999999996</v>
      </c>
      <c r="AA288">
        <f t="shared" si="22"/>
        <v>56</v>
      </c>
      <c r="AB288" t="str">
        <f t="shared" si="23"/>
        <v>5435</v>
      </c>
      <c r="AC288" t="str">
        <f t="shared" si="24"/>
        <v>5141315</v>
      </c>
    </row>
    <row r="289" spans="1:29" x14ac:dyDescent="0.3">
      <c r="A289">
        <f>_xlfn.XLOOKUP(E289,Date_Dim!B:B,Date_Dim!A:A)</f>
        <v>257</v>
      </c>
      <c r="B289">
        <v>2024</v>
      </c>
      <c r="C289">
        <v>177</v>
      </c>
      <c r="D289">
        <v>2</v>
      </c>
      <c r="E289" s="1">
        <v>44433</v>
      </c>
      <c r="F289">
        <v>24</v>
      </c>
      <c r="G289" s="1">
        <v>44463</v>
      </c>
      <c r="H289" s="1">
        <v>44505</v>
      </c>
      <c r="I289">
        <v>4</v>
      </c>
      <c r="J289">
        <v>3</v>
      </c>
      <c r="K289">
        <v>1999</v>
      </c>
      <c r="L289">
        <v>3</v>
      </c>
      <c r="M289">
        <v>3000</v>
      </c>
      <c r="N289">
        <v>12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2</v>
      </c>
      <c r="U289">
        <v>175</v>
      </c>
      <c r="V289">
        <v>1499.7000000000003</v>
      </c>
      <c r="W289">
        <v>1</v>
      </c>
      <c r="X289">
        <v>4999</v>
      </c>
      <c r="Y289">
        <f t="shared" si="20"/>
        <v>4674.7000000000007</v>
      </c>
      <c r="Z289">
        <f t="shared" si="21"/>
        <v>324.29999999999927</v>
      </c>
      <c r="AA289">
        <f t="shared" si="22"/>
        <v>42</v>
      </c>
      <c r="AB289" t="str">
        <f t="shared" si="23"/>
        <v>13224</v>
      </c>
      <c r="AC289" t="str">
        <f t="shared" si="24"/>
        <v>11312124</v>
      </c>
    </row>
    <row r="290" spans="1:29" x14ac:dyDescent="0.3">
      <c r="A290">
        <f>_xlfn.XLOOKUP(E290,Date_Dim!B:B,Date_Dim!A:A)</f>
        <v>258</v>
      </c>
      <c r="B290">
        <v>2021</v>
      </c>
      <c r="C290">
        <v>177</v>
      </c>
      <c r="D290">
        <v>2</v>
      </c>
      <c r="E290" s="1">
        <v>44721</v>
      </c>
      <c r="F290">
        <v>6</v>
      </c>
      <c r="G290" s="1">
        <v>44751</v>
      </c>
      <c r="H290" s="1">
        <v>44793</v>
      </c>
      <c r="I290">
        <v>4</v>
      </c>
      <c r="J290">
        <v>4</v>
      </c>
      <c r="K290">
        <v>1999</v>
      </c>
      <c r="L290">
        <v>6</v>
      </c>
      <c r="M290">
        <v>3000</v>
      </c>
      <c r="N290">
        <v>9</v>
      </c>
      <c r="O290">
        <v>1</v>
      </c>
      <c r="P290">
        <v>3</v>
      </c>
      <c r="Q290">
        <v>3</v>
      </c>
      <c r="R290">
        <v>3</v>
      </c>
      <c r="S290">
        <v>2000</v>
      </c>
      <c r="T290">
        <v>4</v>
      </c>
      <c r="U290">
        <v>135</v>
      </c>
      <c r="V290">
        <v>2099.7000000000003</v>
      </c>
      <c r="W290">
        <v>7</v>
      </c>
      <c r="X290">
        <v>6999</v>
      </c>
      <c r="Y290">
        <f t="shared" si="20"/>
        <v>5234.7000000000007</v>
      </c>
      <c r="Z290">
        <f t="shared" si="21"/>
        <v>1764.2999999999993</v>
      </c>
      <c r="AA290">
        <f t="shared" si="22"/>
        <v>42</v>
      </c>
      <c r="AB290" t="str">
        <f t="shared" si="23"/>
        <v>3446</v>
      </c>
      <c r="AC290" t="str">
        <f t="shared" si="24"/>
        <v>3141416</v>
      </c>
    </row>
    <row r="291" spans="1:29" x14ac:dyDescent="0.3">
      <c r="A291">
        <f>_xlfn.XLOOKUP(E291,Date_Dim!B:B,Date_Dim!A:A)</f>
        <v>259</v>
      </c>
      <c r="B291">
        <v>2022</v>
      </c>
      <c r="C291">
        <v>178</v>
      </c>
      <c r="D291">
        <v>2</v>
      </c>
      <c r="E291" s="1">
        <v>43982</v>
      </c>
      <c r="F291">
        <v>29</v>
      </c>
      <c r="G291" s="1">
        <v>44012</v>
      </c>
      <c r="H291" s="1">
        <v>44040</v>
      </c>
      <c r="I291">
        <v>3</v>
      </c>
      <c r="J291">
        <v>4</v>
      </c>
      <c r="K291">
        <v>1689</v>
      </c>
      <c r="L291">
        <v>15</v>
      </c>
      <c r="M291">
        <v>3500</v>
      </c>
      <c r="N291">
        <v>3</v>
      </c>
      <c r="O291">
        <v>1</v>
      </c>
      <c r="P291">
        <v>4</v>
      </c>
      <c r="Q291">
        <v>4</v>
      </c>
      <c r="R291">
        <v>4</v>
      </c>
      <c r="S291">
        <v>0</v>
      </c>
      <c r="T291">
        <v>5</v>
      </c>
      <c r="U291">
        <v>155</v>
      </c>
      <c r="V291">
        <v>2075.6</v>
      </c>
      <c r="W291">
        <v>6</v>
      </c>
      <c r="X291">
        <v>5189</v>
      </c>
      <c r="Y291">
        <f t="shared" si="20"/>
        <v>5730.6</v>
      </c>
      <c r="Z291">
        <f t="shared" si="21"/>
        <v>-541.60000000000036</v>
      </c>
      <c r="AA291">
        <f t="shared" si="22"/>
        <v>28</v>
      </c>
      <c r="AB291" t="str">
        <f t="shared" si="23"/>
        <v>44529</v>
      </c>
      <c r="AC291" t="str">
        <f t="shared" si="24"/>
        <v>41415129</v>
      </c>
    </row>
    <row r="292" spans="1:29" x14ac:dyDescent="0.3">
      <c r="A292">
        <f>_xlfn.XLOOKUP(E292,Date_Dim!B:B,Date_Dim!A:A)</f>
        <v>260</v>
      </c>
      <c r="B292">
        <v>2021</v>
      </c>
      <c r="C292">
        <v>179</v>
      </c>
      <c r="D292">
        <v>2</v>
      </c>
      <c r="E292" s="1">
        <v>44807</v>
      </c>
      <c r="F292">
        <v>15</v>
      </c>
      <c r="G292" s="1">
        <v>44837</v>
      </c>
      <c r="H292" s="1">
        <v>44865</v>
      </c>
      <c r="I292">
        <v>3</v>
      </c>
      <c r="J292">
        <v>2</v>
      </c>
      <c r="K292">
        <v>1689</v>
      </c>
      <c r="L292">
        <v>10</v>
      </c>
      <c r="M292">
        <v>2500</v>
      </c>
      <c r="N292">
        <v>6</v>
      </c>
      <c r="O292">
        <v>1</v>
      </c>
      <c r="P292">
        <v>2</v>
      </c>
      <c r="Q292">
        <v>2</v>
      </c>
      <c r="R292">
        <v>2</v>
      </c>
      <c r="S292">
        <v>6000</v>
      </c>
      <c r="T292">
        <v>2</v>
      </c>
      <c r="U292">
        <v>175</v>
      </c>
      <c r="V292">
        <v>3056.7000000000003</v>
      </c>
      <c r="W292">
        <v>3</v>
      </c>
      <c r="X292">
        <v>10189</v>
      </c>
      <c r="Y292">
        <f t="shared" si="20"/>
        <v>5731.7000000000007</v>
      </c>
      <c r="Z292">
        <f t="shared" si="21"/>
        <v>4457.2999999999993</v>
      </c>
      <c r="AA292">
        <f t="shared" si="22"/>
        <v>28</v>
      </c>
      <c r="AB292" t="str">
        <f t="shared" si="23"/>
        <v>22215</v>
      </c>
      <c r="AC292" t="str">
        <f t="shared" si="24"/>
        <v>21212115</v>
      </c>
    </row>
    <row r="293" spans="1:29" x14ac:dyDescent="0.3">
      <c r="A293">
        <f>_xlfn.XLOOKUP(E293,Date_Dim!B:B,Date_Dim!A:A)</f>
        <v>261</v>
      </c>
      <c r="B293">
        <v>2024</v>
      </c>
      <c r="C293">
        <v>179</v>
      </c>
      <c r="D293">
        <v>2</v>
      </c>
      <c r="E293" s="1">
        <v>44337</v>
      </c>
      <c r="F293">
        <v>21</v>
      </c>
      <c r="G293" s="1">
        <v>44367</v>
      </c>
      <c r="H293" s="1">
        <v>44409</v>
      </c>
      <c r="I293">
        <v>4</v>
      </c>
      <c r="J293">
        <v>1</v>
      </c>
      <c r="K293">
        <v>1999</v>
      </c>
      <c r="L293">
        <v>5</v>
      </c>
      <c r="M293">
        <v>3200</v>
      </c>
      <c r="N293">
        <v>8</v>
      </c>
      <c r="O293">
        <v>1</v>
      </c>
      <c r="P293">
        <v>4</v>
      </c>
      <c r="Q293">
        <v>4</v>
      </c>
      <c r="R293">
        <v>4</v>
      </c>
      <c r="S293">
        <v>0</v>
      </c>
      <c r="T293">
        <v>1</v>
      </c>
      <c r="U293">
        <v>0</v>
      </c>
      <c r="V293">
        <v>2079.6</v>
      </c>
      <c r="W293">
        <v>8</v>
      </c>
      <c r="X293">
        <v>5199</v>
      </c>
      <c r="Y293">
        <f t="shared" si="20"/>
        <v>5279.6</v>
      </c>
      <c r="Z293">
        <f t="shared" si="21"/>
        <v>-80.600000000000364</v>
      </c>
      <c r="AA293">
        <f t="shared" si="22"/>
        <v>42</v>
      </c>
      <c r="AB293" t="str">
        <f t="shared" si="23"/>
        <v>41121</v>
      </c>
      <c r="AC293" t="str">
        <f t="shared" si="24"/>
        <v>41111121</v>
      </c>
    </row>
    <row r="294" spans="1:29" x14ac:dyDescent="0.3">
      <c r="A294">
        <f>_xlfn.XLOOKUP(E294,Date_Dim!B:B,Date_Dim!A:A)</f>
        <v>262</v>
      </c>
      <c r="B294">
        <v>2023</v>
      </c>
      <c r="C294">
        <v>180</v>
      </c>
      <c r="D294">
        <v>2</v>
      </c>
      <c r="E294" s="1">
        <v>44981</v>
      </c>
      <c r="F294">
        <v>17</v>
      </c>
      <c r="G294" s="1">
        <v>45011</v>
      </c>
      <c r="H294" s="1">
        <v>45053</v>
      </c>
      <c r="I294">
        <v>4</v>
      </c>
      <c r="J294">
        <v>1</v>
      </c>
      <c r="K294">
        <v>1999</v>
      </c>
      <c r="L294">
        <v>12</v>
      </c>
      <c r="M294">
        <v>1500</v>
      </c>
      <c r="N294">
        <v>11</v>
      </c>
      <c r="O294">
        <v>1</v>
      </c>
      <c r="P294">
        <v>4</v>
      </c>
      <c r="Q294">
        <v>4</v>
      </c>
      <c r="R294">
        <v>4</v>
      </c>
      <c r="S294">
        <v>0</v>
      </c>
      <c r="T294">
        <v>1</v>
      </c>
      <c r="U294">
        <v>0</v>
      </c>
      <c r="V294">
        <v>1049.7</v>
      </c>
      <c r="W294">
        <v>8</v>
      </c>
      <c r="X294">
        <v>3499</v>
      </c>
      <c r="Y294">
        <f t="shared" si="20"/>
        <v>2549.6999999999998</v>
      </c>
      <c r="Z294">
        <f t="shared" si="21"/>
        <v>949.30000000000018</v>
      </c>
      <c r="AA294">
        <f t="shared" si="22"/>
        <v>42</v>
      </c>
      <c r="AB294" t="str">
        <f t="shared" si="23"/>
        <v>41117</v>
      </c>
      <c r="AC294" t="str">
        <f t="shared" si="24"/>
        <v>41111117</v>
      </c>
    </row>
    <row r="295" spans="1:29" x14ac:dyDescent="0.3">
      <c r="A295">
        <f>_xlfn.XLOOKUP(E295,Date_Dim!B:B,Date_Dim!A:A)</f>
        <v>263</v>
      </c>
      <c r="B295">
        <v>2020</v>
      </c>
      <c r="C295">
        <v>180</v>
      </c>
      <c r="D295">
        <v>2</v>
      </c>
      <c r="E295" s="1">
        <v>44968</v>
      </c>
      <c r="F295">
        <v>9</v>
      </c>
      <c r="G295" s="1">
        <v>44998</v>
      </c>
      <c r="H295" s="1">
        <v>45054</v>
      </c>
      <c r="I295">
        <v>5</v>
      </c>
      <c r="J295">
        <v>3</v>
      </c>
      <c r="K295">
        <v>2699</v>
      </c>
      <c r="L295">
        <v>3</v>
      </c>
      <c r="M295">
        <v>3500</v>
      </c>
      <c r="N295">
        <v>12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6</v>
      </c>
      <c r="U295">
        <v>120</v>
      </c>
      <c r="V295">
        <v>2479.6000000000004</v>
      </c>
      <c r="W295">
        <v>1</v>
      </c>
      <c r="X295">
        <v>6199</v>
      </c>
      <c r="Y295">
        <f t="shared" si="20"/>
        <v>6099.6</v>
      </c>
      <c r="Z295">
        <f t="shared" si="21"/>
        <v>99.399999999999636</v>
      </c>
      <c r="AA295">
        <f t="shared" si="22"/>
        <v>56</v>
      </c>
      <c r="AB295" t="str">
        <f t="shared" si="23"/>
        <v>1369</v>
      </c>
      <c r="AC295" t="str">
        <f t="shared" si="24"/>
        <v>1131619</v>
      </c>
    </row>
    <row r="296" spans="1:29" x14ac:dyDescent="0.3">
      <c r="A296">
        <f>_xlfn.XLOOKUP(E296,Date_Dim!B:B,Date_Dim!A:A)</f>
        <v>264</v>
      </c>
      <c r="B296">
        <v>2024</v>
      </c>
      <c r="C296">
        <v>181</v>
      </c>
      <c r="D296">
        <v>2</v>
      </c>
      <c r="E296" s="1">
        <v>44502</v>
      </c>
      <c r="F296">
        <v>5</v>
      </c>
      <c r="G296" s="1">
        <v>44532</v>
      </c>
      <c r="H296" s="1">
        <v>44588</v>
      </c>
      <c r="I296">
        <v>5</v>
      </c>
      <c r="J296">
        <v>4</v>
      </c>
      <c r="K296">
        <v>2699</v>
      </c>
      <c r="L296">
        <v>5</v>
      </c>
      <c r="M296">
        <v>5000</v>
      </c>
      <c r="N296">
        <v>8</v>
      </c>
      <c r="O296">
        <v>1</v>
      </c>
      <c r="P296">
        <v>3</v>
      </c>
      <c r="Q296">
        <v>3</v>
      </c>
      <c r="R296">
        <v>3</v>
      </c>
      <c r="S296">
        <v>2000</v>
      </c>
      <c r="T296">
        <v>4</v>
      </c>
      <c r="U296">
        <v>135</v>
      </c>
      <c r="V296">
        <v>3879.6000000000004</v>
      </c>
      <c r="W296">
        <v>7</v>
      </c>
      <c r="X296">
        <v>9699</v>
      </c>
      <c r="Y296">
        <f t="shared" si="20"/>
        <v>9014.6</v>
      </c>
      <c r="Z296">
        <f t="shared" si="21"/>
        <v>684.39999999999964</v>
      </c>
      <c r="AA296">
        <f t="shared" si="22"/>
        <v>56</v>
      </c>
      <c r="AB296" t="str">
        <f t="shared" si="23"/>
        <v>3445</v>
      </c>
      <c r="AC296" t="str">
        <f t="shared" si="24"/>
        <v>3141415</v>
      </c>
    </row>
    <row r="297" spans="1:29" x14ac:dyDescent="0.3">
      <c r="A297">
        <f>_xlfn.XLOOKUP(E297,Date_Dim!B:B,Date_Dim!A:A)</f>
        <v>70</v>
      </c>
      <c r="B297">
        <v>2022</v>
      </c>
      <c r="C297">
        <v>181</v>
      </c>
      <c r="D297">
        <v>2</v>
      </c>
      <c r="E297" s="1">
        <v>44463</v>
      </c>
      <c r="F297">
        <v>1</v>
      </c>
      <c r="G297" s="1">
        <v>44493</v>
      </c>
      <c r="H297" s="1">
        <v>44507</v>
      </c>
      <c r="I297">
        <v>1</v>
      </c>
      <c r="J297">
        <v>1</v>
      </c>
      <c r="K297">
        <v>1459</v>
      </c>
      <c r="L297">
        <v>1</v>
      </c>
      <c r="M297">
        <v>3000</v>
      </c>
      <c r="N297">
        <v>15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1337.7000000000003</v>
      </c>
      <c r="W297">
        <v>1</v>
      </c>
      <c r="X297">
        <v>4459</v>
      </c>
      <c r="Y297">
        <f t="shared" si="20"/>
        <v>4337.7000000000007</v>
      </c>
      <c r="Z297">
        <f t="shared" si="21"/>
        <v>121.29999999999927</v>
      </c>
      <c r="AA297">
        <f t="shared" si="22"/>
        <v>14</v>
      </c>
      <c r="AB297" t="str">
        <f t="shared" si="23"/>
        <v>1111</v>
      </c>
      <c r="AC297" t="str">
        <f t="shared" si="24"/>
        <v>1111111</v>
      </c>
    </row>
    <row r="298" spans="1:29" x14ac:dyDescent="0.3">
      <c r="A298">
        <f>_xlfn.XLOOKUP(E298,Date_Dim!B:B,Date_Dim!A:A)</f>
        <v>265</v>
      </c>
      <c r="B298">
        <v>2021</v>
      </c>
      <c r="C298">
        <v>182</v>
      </c>
      <c r="D298">
        <v>2</v>
      </c>
      <c r="E298" s="1">
        <v>44726</v>
      </c>
      <c r="F298">
        <v>21</v>
      </c>
      <c r="G298" s="1">
        <v>44756</v>
      </c>
      <c r="H298" s="1">
        <v>44798</v>
      </c>
      <c r="I298">
        <v>4</v>
      </c>
      <c r="J298">
        <v>1</v>
      </c>
      <c r="K298">
        <v>1999</v>
      </c>
      <c r="L298">
        <v>5</v>
      </c>
      <c r="M298">
        <v>3200</v>
      </c>
      <c r="N298">
        <v>8</v>
      </c>
      <c r="O298">
        <v>1</v>
      </c>
      <c r="P298">
        <v>4</v>
      </c>
      <c r="Q298">
        <v>4</v>
      </c>
      <c r="R298">
        <v>4</v>
      </c>
      <c r="S298">
        <v>0</v>
      </c>
      <c r="T298">
        <v>8</v>
      </c>
      <c r="U298">
        <v>80</v>
      </c>
      <c r="V298">
        <v>1559.7000000000003</v>
      </c>
      <c r="W298">
        <v>8</v>
      </c>
      <c r="X298">
        <v>5199</v>
      </c>
      <c r="Y298">
        <f t="shared" si="20"/>
        <v>4839.7000000000007</v>
      </c>
      <c r="Z298">
        <f t="shared" si="21"/>
        <v>359.29999999999927</v>
      </c>
      <c r="AA298">
        <f t="shared" si="22"/>
        <v>42</v>
      </c>
      <c r="AB298" t="str">
        <f t="shared" si="23"/>
        <v>41821</v>
      </c>
      <c r="AC298" t="str">
        <f t="shared" si="24"/>
        <v>41118121</v>
      </c>
    </row>
    <row r="299" spans="1:29" x14ac:dyDescent="0.3">
      <c r="A299">
        <f>_xlfn.XLOOKUP(E299,Date_Dim!B:B,Date_Dim!A:A)</f>
        <v>266</v>
      </c>
      <c r="B299">
        <v>2024</v>
      </c>
      <c r="C299">
        <v>182</v>
      </c>
      <c r="D299">
        <v>2</v>
      </c>
      <c r="E299" s="1">
        <v>44002</v>
      </c>
      <c r="F299">
        <v>8</v>
      </c>
      <c r="G299" s="1">
        <v>44032</v>
      </c>
      <c r="H299" s="1">
        <v>44046</v>
      </c>
      <c r="I299">
        <v>1</v>
      </c>
      <c r="J299">
        <v>4</v>
      </c>
      <c r="K299">
        <v>1459</v>
      </c>
      <c r="L299">
        <v>8</v>
      </c>
      <c r="M299">
        <v>1800</v>
      </c>
      <c r="N299">
        <v>2</v>
      </c>
      <c r="O299">
        <v>1</v>
      </c>
      <c r="P299">
        <v>4</v>
      </c>
      <c r="Q299">
        <v>4</v>
      </c>
      <c r="R299">
        <v>4</v>
      </c>
      <c r="S299">
        <v>0</v>
      </c>
      <c r="T299">
        <v>5</v>
      </c>
      <c r="U299">
        <v>155</v>
      </c>
      <c r="V299">
        <v>1303.6000000000001</v>
      </c>
      <c r="W299">
        <v>6</v>
      </c>
      <c r="X299">
        <v>3259</v>
      </c>
      <c r="Y299">
        <f t="shared" si="20"/>
        <v>3258.6000000000004</v>
      </c>
      <c r="Z299">
        <f t="shared" si="21"/>
        <v>0.3999999999996362</v>
      </c>
      <c r="AA299">
        <f t="shared" si="22"/>
        <v>14</v>
      </c>
      <c r="AB299" t="str">
        <f t="shared" si="23"/>
        <v>4458</v>
      </c>
      <c r="AC299" t="str">
        <f t="shared" si="24"/>
        <v>4141518</v>
      </c>
    </row>
    <row r="300" spans="1:29" x14ac:dyDescent="0.3">
      <c r="A300">
        <f>_xlfn.XLOOKUP(E300,Date_Dim!B:B,Date_Dim!A:A)</f>
        <v>267</v>
      </c>
      <c r="B300">
        <v>2024</v>
      </c>
      <c r="C300">
        <v>183</v>
      </c>
      <c r="D300">
        <v>2</v>
      </c>
      <c r="E300" s="1">
        <v>44015</v>
      </c>
      <c r="F300">
        <v>5</v>
      </c>
      <c r="G300" s="1">
        <v>44045</v>
      </c>
      <c r="H300" s="1">
        <v>44101</v>
      </c>
      <c r="I300">
        <v>5</v>
      </c>
      <c r="J300">
        <v>4</v>
      </c>
      <c r="K300">
        <v>2699</v>
      </c>
      <c r="L300">
        <v>5</v>
      </c>
      <c r="M300">
        <v>5000</v>
      </c>
      <c r="N300">
        <v>8</v>
      </c>
      <c r="O300">
        <v>1</v>
      </c>
      <c r="P300">
        <v>3</v>
      </c>
      <c r="Q300">
        <v>3</v>
      </c>
      <c r="R300">
        <v>3</v>
      </c>
      <c r="S300">
        <v>2000</v>
      </c>
      <c r="T300">
        <v>3</v>
      </c>
      <c r="U300">
        <v>125</v>
      </c>
      <c r="V300">
        <v>3879.6000000000004</v>
      </c>
      <c r="W300">
        <v>4</v>
      </c>
      <c r="X300">
        <v>9699</v>
      </c>
      <c r="Y300">
        <f t="shared" si="20"/>
        <v>9004.6</v>
      </c>
      <c r="Z300">
        <f t="shared" si="21"/>
        <v>694.39999999999964</v>
      </c>
      <c r="AA300">
        <f t="shared" si="22"/>
        <v>56</v>
      </c>
      <c r="AB300" t="str">
        <f t="shared" si="23"/>
        <v>3435</v>
      </c>
      <c r="AC300" t="str">
        <f t="shared" si="24"/>
        <v>3141315</v>
      </c>
    </row>
    <row r="301" spans="1:29" x14ac:dyDescent="0.3">
      <c r="A301">
        <f>_xlfn.XLOOKUP(E301,Date_Dim!B:B,Date_Dim!A:A)</f>
        <v>268</v>
      </c>
      <c r="B301">
        <v>2022</v>
      </c>
      <c r="C301">
        <v>183</v>
      </c>
      <c r="D301">
        <v>2</v>
      </c>
      <c r="E301" s="1">
        <v>45625</v>
      </c>
      <c r="F301">
        <v>11</v>
      </c>
      <c r="G301" s="1">
        <v>45655</v>
      </c>
      <c r="H301" s="1">
        <v>45669</v>
      </c>
      <c r="I301">
        <v>1</v>
      </c>
      <c r="J301">
        <v>2</v>
      </c>
      <c r="K301">
        <v>1459</v>
      </c>
      <c r="L301">
        <v>10</v>
      </c>
      <c r="M301">
        <v>2000</v>
      </c>
      <c r="N301">
        <v>6</v>
      </c>
      <c r="O301">
        <v>2</v>
      </c>
      <c r="P301">
        <v>2</v>
      </c>
      <c r="Q301">
        <v>2</v>
      </c>
      <c r="R301">
        <v>2</v>
      </c>
      <c r="S301">
        <v>6000</v>
      </c>
      <c r="T301">
        <v>2</v>
      </c>
      <c r="U301">
        <v>175</v>
      </c>
      <c r="V301">
        <v>3783.6000000000004</v>
      </c>
      <c r="W301">
        <v>3</v>
      </c>
      <c r="X301">
        <v>9459</v>
      </c>
      <c r="Y301">
        <f t="shared" si="20"/>
        <v>5958.6</v>
      </c>
      <c r="Z301">
        <f t="shared" si="21"/>
        <v>3500.3999999999996</v>
      </c>
      <c r="AA301">
        <f t="shared" si="22"/>
        <v>14</v>
      </c>
      <c r="AB301" t="str">
        <f t="shared" si="23"/>
        <v>22211</v>
      </c>
      <c r="AC301" t="str">
        <f t="shared" si="24"/>
        <v>21212111</v>
      </c>
    </row>
    <row r="302" spans="1:29" x14ac:dyDescent="0.3">
      <c r="A302">
        <f>_xlfn.XLOOKUP(E302,Date_Dim!B:B,Date_Dim!A:A)</f>
        <v>269</v>
      </c>
      <c r="B302">
        <v>2021</v>
      </c>
      <c r="C302">
        <v>184</v>
      </c>
      <c r="D302">
        <v>2</v>
      </c>
      <c r="E302" s="1">
        <v>43855</v>
      </c>
      <c r="F302">
        <v>28</v>
      </c>
      <c r="G302" s="1">
        <v>43885</v>
      </c>
      <c r="H302" s="1">
        <v>43913</v>
      </c>
      <c r="I302">
        <v>3</v>
      </c>
      <c r="J302">
        <v>3</v>
      </c>
      <c r="K302">
        <v>1689</v>
      </c>
      <c r="L302">
        <v>14</v>
      </c>
      <c r="M302">
        <v>2200</v>
      </c>
      <c r="N302">
        <v>10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2</v>
      </c>
      <c r="U302">
        <v>175</v>
      </c>
      <c r="V302">
        <v>1166.7000000000003</v>
      </c>
      <c r="W302">
        <v>2</v>
      </c>
      <c r="X302">
        <v>3889</v>
      </c>
      <c r="Y302">
        <f t="shared" si="20"/>
        <v>3541.7000000000003</v>
      </c>
      <c r="Z302">
        <f t="shared" si="21"/>
        <v>347.29999999999973</v>
      </c>
      <c r="AA302">
        <f t="shared" si="22"/>
        <v>28</v>
      </c>
      <c r="AB302" t="str">
        <f t="shared" si="23"/>
        <v>13228</v>
      </c>
      <c r="AC302" t="str">
        <f t="shared" si="24"/>
        <v>11312128</v>
      </c>
    </row>
    <row r="303" spans="1:29" x14ac:dyDescent="0.3">
      <c r="A303">
        <f>_xlfn.XLOOKUP(E303,Date_Dim!B:B,Date_Dim!A:A)</f>
        <v>164</v>
      </c>
      <c r="B303">
        <v>2024</v>
      </c>
      <c r="C303">
        <v>184</v>
      </c>
      <c r="D303">
        <v>2</v>
      </c>
      <c r="E303" s="1">
        <v>43892</v>
      </c>
      <c r="F303">
        <v>29</v>
      </c>
      <c r="G303" s="1">
        <v>43922</v>
      </c>
      <c r="H303" s="1">
        <v>43950</v>
      </c>
      <c r="I303">
        <v>3</v>
      </c>
      <c r="J303">
        <v>4</v>
      </c>
      <c r="K303">
        <v>1689</v>
      </c>
      <c r="L303">
        <v>15</v>
      </c>
      <c r="M303">
        <v>3500</v>
      </c>
      <c r="N303">
        <v>3</v>
      </c>
      <c r="O303">
        <v>1</v>
      </c>
      <c r="P303">
        <v>4</v>
      </c>
      <c r="Q303">
        <v>4</v>
      </c>
      <c r="R303">
        <v>4</v>
      </c>
      <c r="S303">
        <v>0</v>
      </c>
      <c r="T303">
        <v>5</v>
      </c>
      <c r="U303">
        <v>155</v>
      </c>
      <c r="V303">
        <v>2075.6</v>
      </c>
      <c r="W303">
        <v>6</v>
      </c>
      <c r="X303">
        <v>5189</v>
      </c>
      <c r="Y303">
        <f t="shared" si="20"/>
        <v>5730.6</v>
      </c>
      <c r="Z303">
        <f t="shared" si="21"/>
        <v>-541.60000000000036</v>
      </c>
      <c r="AA303">
        <f t="shared" si="22"/>
        <v>28</v>
      </c>
      <c r="AB303" t="str">
        <f t="shared" si="23"/>
        <v>44529</v>
      </c>
      <c r="AC303" t="str">
        <f t="shared" si="24"/>
        <v>41415129</v>
      </c>
    </row>
    <row r="304" spans="1:29" x14ac:dyDescent="0.3">
      <c r="A304">
        <f>_xlfn.XLOOKUP(E304,Date_Dim!B:B,Date_Dim!A:A)</f>
        <v>270</v>
      </c>
      <c r="B304">
        <v>2021</v>
      </c>
      <c r="C304">
        <v>185</v>
      </c>
      <c r="D304">
        <v>2</v>
      </c>
      <c r="E304" s="1">
        <v>43946</v>
      </c>
      <c r="F304">
        <v>5</v>
      </c>
      <c r="G304" s="1">
        <v>43976</v>
      </c>
      <c r="H304" s="1">
        <v>44032</v>
      </c>
      <c r="I304">
        <v>5</v>
      </c>
      <c r="J304">
        <v>4</v>
      </c>
      <c r="K304">
        <v>2699</v>
      </c>
      <c r="L304">
        <v>5</v>
      </c>
      <c r="M304">
        <v>5000</v>
      </c>
      <c r="N304">
        <v>8</v>
      </c>
      <c r="O304">
        <v>1</v>
      </c>
      <c r="P304">
        <v>5</v>
      </c>
      <c r="Q304">
        <v>5</v>
      </c>
      <c r="R304">
        <v>5</v>
      </c>
      <c r="S304">
        <v>8000</v>
      </c>
      <c r="T304">
        <v>3</v>
      </c>
      <c r="U304">
        <v>125</v>
      </c>
      <c r="V304">
        <v>4709.7000000000007</v>
      </c>
      <c r="W304">
        <v>4</v>
      </c>
      <c r="X304">
        <v>15699</v>
      </c>
      <c r="Y304">
        <f t="shared" si="20"/>
        <v>9834.7000000000007</v>
      </c>
      <c r="Z304">
        <f t="shared" si="21"/>
        <v>5864.2999999999993</v>
      </c>
      <c r="AA304">
        <f t="shared" si="22"/>
        <v>56</v>
      </c>
      <c r="AB304" t="str">
        <f t="shared" si="23"/>
        <v>5435</v>
      </c>
      <c r="AC304" t="str">
        <f t="shared" si="24"/>
        <v>5141315</v>
      </c>
    </row>
    <row r="305" spans="1:29" x14ac:dyDescent="0.3">
      <c r="A305">
        <f>_xlfn.XLOOKUP(E305,Date_Dim!B:B,Date_Dim!A:A)</f>
        <v>271</v>
      </c>
      <c r="B305">
        <v>2024</v>
      </c>
      <c r="C305">
        <v>185</v>
      </c>
      <c r="D305">
        <v>2</v>
      </c>
      <c r="E305" s="1">
        <v>44689</v>
      </c>
      <c r="F305">
        <v>6</v>
      </c>
      <c r="G305" s="1">
        <v>44719</v>
      </c>
      <c r="H305" s="1">
        <v>44761</v>
      </c>
      <c r="I305">
        <v>4</v>
      </c>
      <c r="J305">
        <v>4</v>
      </c>
      <c r="K305">
        <v>1999</v>
      </c>
      <c r="L305">
        <v>6</v>
      </c>
      <c r="M305">
        <v>3000</v>
      </c>
      <c r="N305">
        <v>9</v>
      </c>
      <c r="O305">
        <v>1</v>
      </c>
      <c r="P305">
        <v>3</v>
      </c>
      <c r="Q305">
        <v>3</v>
      </c>
      <c r="R305">
        <v>3</v>
      </c>
      <c r="S305">
        <v>2000</v>
      </c>
      <c r="T305">
        <v>4</v>
      </c>
      <c r="U305">
        <v>135</v>
      </c>
      <c r="V305">
        <v>2799.6000000000004</v>
      </c>
      <c r="W305">
        <v>7</v>
      </c>
      <c r="X305">
        <v>6999</v>
      </c>
      <c r="Y305">
        <f t="shared" si="20"/>
        <v>5934.6</v>
      </c>
      <c r="Z305">
        <f t="shared" si="21"/>
        <v>1064.3999999999996</v>
      </c>
      <c r="AA305">
        <f t="shared" si="22"/>
        <v>42</v>
      </c>
      <c r="AB305" t="str">
        <f t="shared" si="23"/>
        <v>3446</v>
      </c>
      <c r="AC305" t="str">
        <f t="shared" si="24"/>
        <v>3141416</v>
      </c>
    </row>
    <row r="306" spans="1:29" x14ac:dyDescent="0.3">
      <c r="A306">
        <f>_xlfn.XLOOKUP(E306,Date_Dim!B:B,Date_Dim!A:A)</f>
        <v>73</v>
      </c>
      <c r="B306">
        <v>2023</v>
      </c>
      <c r="C306">
        <v>186</v>
      </c>
      <c r="D306">
        <v>2</v>
      </c>
      <c r="E306" s="1">
        <v>45137</v>
      </c>
      <c r="F306">
        <v>11</v>
      </c>
      <c r="G306" s="1">
        <v>45167</v>
      </c>
      <c r="H306" s="1">
        <v>45181</v>
      </c>
      <c r="I306">
        <v>1</v>
      </c>
      <c r="J306">
        <v>2</v>
      </c>
      <c r="K306">
        <v>1459</v>
      </c>
      <c r="L306">
        <v>10</v>
      </c>
      <c r="M306">
        <v>2000</v>
      </c>
      <c r="N306">
        <v>6</v>
      </c>
      <c r="O306">
        <v>1</v>
      </c>
      <c r="P306">
        <v>2</v>
      </c>
      <c r="Q306">
        <v>2</v>
      </c>
      <c r="R306">
        <v>2</v>
      </c>
      <c r="S306">
        <v>6000</v>
      </c>
      <c r="T306">
        <v>2</v>
      </c>
      <c r="U306">
        <v>175</v>
      </c>
      <c r="V306">
        <v>2837.7000000000003</v>
      </c>
      <c r="W306">
        <v>3</v>
      </c>
      <c r="X306">
        <v>9459</v>
      </c>
      <c r="Y306">
        <f t="shared" si="20"/>
        <v>5012.7000000000007</v>
      </c>
      <c r="Z306">
        <f t="shared" si="21"/>
        <v>4446.2999999999993</v>
      </c>
      <c r="AA306">
        <f t="shared" si="22"/>
        <v>14</v>
      </c>
      <c r="AB306" t="str">
        <f t="shared" si="23"/>
        <v>22211</v>
      </c>
      <c r="AC306" t="str">
        <f t="shared" si="24"/>
        <v>21212111</v>
      </c>
    </row>
    <row r="307" spans="1:29" x14ac:dyDescent="0.3">
      <c r="A307">
        <f>_xlfn.XLOOKUP(E307,Date_Dim!B:B,Date_Dim!A:A)</f>
        <v>272</v>
      </c>
      <c r="B307">
        <v>2023</v>
      </c>
      <c r="C307">
        <v>187</v>
      </c>
      <c r="D307">
        <v>2</v>
      </c>
      <c r="E307" s="1">
        <v>45180</v>
      </c>
      <c r="F307">
        <v>19</v>
      </c>
      <c r="G307" s="1">
        <v>45210</v>
      </c>
      <c r="H307" s="1">
        <v>45266</v>
      </c>
      <c r="I307">
        <v>5</v>
      </c>
      <c r="J307">
        <v>6</v>
      </c>
      <c r="K307">
        <v>2699</v>
      </c>
      <c r="L307">
        <v>8</v>
      </c>
      <c r="M307">
        <v>3200</v>
      </c>
      <c r="N307">
        <v>2</v>
      </c>
      <c r="O307">
        <v>1</v>
      </c>
      <c r="P307">
        <v>2</v>
      </c>
      <c r="Q307">
        <v>2</v>
      </c>
      <c r="R307">
        <v>2</v>
      </c>
      <c r="S307">
        <v>6000</v>
      </c>
      <c r="T307">
        <v>2</v>
      </c>
      <c r="U307">
        <v>175</v>
      </c>
      <c r="V307">
        <v>4759.6000000000004</v>
      </c>
      <c r="W307">
        <v>3</v>
      </c>
      <c r="X307">
        <v>11899</v>
      </c>
      <c r="Y307">
        <f t="shared" si="20"/>
        <v>8134.6</v>
      </c>
      <c r="Z307">
        <f t="shared" si="21"/>
        <v>3764.3999999999996</v>
      </c>
      <c r="AA307">
        <f t="shared" si="22"/>
        <v>56</v>
      </c>
      <c r="AB307" t="str">
        <f t="shared" si="23"/>
        <v>26219</v>
      </c>
      <c r="AC307" t="str">
        <f t="shared" si="24"/>
        <v>21612119</v>
      </c>
    </row>
    <row r="308" spans="1:29" x14ac:dyDescent="0.3">
      <c r="A308">
        <f>_xlfn.XLOOKUP(E308,Date_Dim!B:B,Date_Dim!A:A)</f>
        <v>273</v>
      </c>
      <c r="B308">
        <v>2022</v>
      </c>
      <c r="C308">
        <v>188</v>
      </c>
      <c r="D308">
        <v>2</v>
      </c>
      <c r="E308" s="1">
        <v>45344</v>
      </c>
      <c r="F308">
        <v>6</v>
      </c>
      <c r="G308" s="1">
        <v>45374</v>
      </c>
      <c r="H308" s="1">
        <v>45416</v>
      </c>
      <c r="I308">
        <v>4</v>
      </c>
      <c r="J308">
        <v>4</v>
      </c>
      <c r="K308">
        <v>1999</v>
      </c>
      <c r="L308">
        <v>6</v>
      </c>
      <c r="M308">
        <v>3000</v>
      </c>
      <c r="N308">
        <v>9</v>
      </c>
      <c r="O308">
        <v>1</v>
      </c>
      <c r="P308">
        <v>4</v>
      </c>
      <c r="Q308">
        <v>4</v>
      </c>
      <c r="R308">
        <v>4</v>
      </c>
      <c r="S308">
        <v>0</v>
      </c>
      <c r="T308">
        <v>4</v>
      </c>
      <c r="U308">
        <v>135</v>
      </c>
      <c r="V308">
        <v>1499.7000000000003</v>
      </c>
      <c r="W308">
        <v>5</v>
      </c>
      <c r="X308">
        <v>4999</v>
      </c>
      <c r="Y308">
        <f t="shared" si="20"/>
        <v>4634.7000000000007</v>
      </c>
      <c r="Z308">
        <f t="shared" si="21"/>
        <v>364.29999999999927</v>
      </c>
      <c r="AA308">
        <f t="shared" si="22"/>
        <v>42</v>
      </c>
      <c r="AB308" t="str">
        <f t="shared" si="23"/>
        <v>4446</v>
      </c>
      <c r="AC308" t="str">
        <f t="shared" si="24"/>
        <v>4141416</v>
      </c>
    </row>
    <row r="309" spans="1:29" x14ac:dyDescent="0.3">
      <c r="A309">
        <f>_xlfn.XLOOKUP(E309,Date_Dim!B:B,Date_Dim!A:A)</f>
        <v>274</v>
      </c>
      <c r="B309">
        <v>2022</v>
      </c>
      <c r="C309">
        <v>189</v>
      </c>
      <c r="D309">
        <v>2</v>
      </c>
      <c r="E309" s="1">
        <v>44639</v>
      </c>
      <c r="F309">
        <v>17</v>
      </c>
      <c r="G309" s="1">
        <v>44669</v>
      </c>
      <c r="H309" s="1">
        <v>44711</v>
      </c>
      <c r="I309">
        <v>4</v>
      </c>
      <c r="J309">
        <v>1</v>
      </c>
      <c r="K309">
        <v>1999</v>
      </c>
      <c r="L309">
        <v>12</v>
      </c>
      <c r="M309">
        <v>1500</v>
      </c>
      <c r="N309">
        <v>11</v>
      </c>
      <c r="O309">
        <v>1</v>
      </c>
      <c r="P309">
        <v>1</v>
      </c>
      <c r="Q309">
        <v>1</v>
      </c>
      <c r="R309">
        <v>1</v>
      </c>
      <c r="S309">
        <v>0</v>
      </c>
      <c r="T309">
        <v>1</v>
      </c>
      <c r="U309">
        <v>0</v>
      </c>
      <c r="V309">
        <v>1399.6000000000001</v>
      </c>
      <c r="W309">
        <v>1</v>
      </c>
      <c r="X309">
        <v>3499</v>
      </c>
      <c r="Y309">
        <f t="shared" si="20"/>
        <v>2899.6000000000004</v>
      </c>
      <c r="Z309">
        <f t="shared" si="21"/>
        <v>599.39999999999964</v>
      </c>
      <c r="AA309">
        <f t="shared" si="22"/>
        <v>42</v>
      </c>
      <c r="AB309" t="str">
        <f t="shared" si="23"/>
        <v>11117</v>
      </c>
      <c r="AC309" t="str">
        <f t="shared" si="24"/>
        <v>11111117</v>
      </c>
    </row>
    <row r="310" spans="1:29" x14ac:dyDescent="0.3">
      <c r="A310">
        <f>_xlfn.XLOOKUP(E310,Date_Dim!B:B,Date_Dim!A:A)</f>
        <v>275</v>
      </c>
      <c r="B310">
        <v>2024</v>
      </c>
      <c r="C310">
        <v>189</v>
      </c>
      <c r="D310">
        <v>2</v>
      </c>
      <c r="E310" s="1">
        <v>43963</v>
      </c>
      <c r="F310">
        <v>5</v>
      </c>
      <c r="G310" s="1">
        <v>43993</v>
      </c>
      <c r="H310" s="1">
        <v>44049</v>
      </c>
      <c r="I310">
        <v>5</v>
      </c>
      <c r="J310">
        <v>4</v>
      </c>
      <c r="K310">
        <v>2699</v>
      </c>
      <c r="L310">
        <v>5</v>
      </c>
      <c r="M310">
        <v>5000</v>
      </c>
      <c r="N310">
        <v>8</v>
      </c>
      <c r="O310">
        <v>1</v>
      </c>
      <c r="P310">
        <v>3</v>
      </c>
      <c r="Q310">
        <v>3</v>
      </c>
      <c r="R310">
        <v>3</v>
      </c>
      <c r="S310">
        <v>2000</v>
      </c>
      <c r="T310">
        <v>4</v>
      </c>
      <c r="U310">
        <v>135</v>
      </c>
      <c r="V310">
        <v>2909.7000000000003</v>
      </c>
      <c r="W310">
        <v>4</v>
      </c>
      <c r="X310">
        <v>9699</v>
      </c>
      <c r="Y310">
        <f t="shared" si="20"/>
        <v>8044.7000000000007</v>
      </c>
      <c r="Z310">
        <f t="shared" si="21"/>
        <v>1654.2999999999993</v>
      </c>
      <c r="AA310">
        <f t="shared" si="22"/>
        <v>56</v>
      </c>
      <c r="AB310" t="str">
        <f t="shared" si="23"/>
        <v>3445</v>
      </c>
      <c r="AC310" t="str">
        <f t="shared" si="24"/>
        <v>3141415</v>
      </c>
    </row>
    <row r="311" spans="1:29" x14ac:dyDescent="0.3">
      <c r="A311">
        <f>_xlfn.XLOOKUP(E311,Date_Dim!B:B,Date_Dim!A:A)</f>
        <v>276</v>
      </c>
      <c r="B311">
        <v>2021</v>
      </c>
      <c r="C311">
        <v>190</v>
      </c>
      <c r="D311">
        <v>2</v>
      </c>
      <c r="E311" s="1">
        <v>44019</v>
      </c>
      <c r="F311">
        <v>24</v>
      </c>
      <c r="G311" s="1">
        <v>44049</v>
      </c>
      <c r="H311" s="1">
        <v>44091</v>
      </c>
      <c r="I311">
        <v>4</v>
      </c>
      <c r="J311">
        <v>3</v>
      </c>
      <c r="K311">
        <v>1999</v>
      </c>
      <c r="L311">
        <v>3</v>
      </c>
      <c r="M311">
        <v>3000</v>
      </c>
      <c r="N311">
        <v>12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2</v>
      </c>
      <c r="U311">
        <v>175</v>
      </c>
      <c r="V311">
        <v>1499.7000000000003</v>
      </c>
      <c r="W311">
        <v>2</v>
      </c>
      <c r="X311">
        <v>4999</v>
      </c>
      <c r="Y311">
        <f t="shared" si="20"/>
        <v>4674.7000000000007</v>
      </c>
      <c r="Z311">
        <f t="shared" si="21"/>
        <v>324.29999999999927</v>
      </c>
      <c r="AA311">
        <f t="shared" si="22"/>
        <v>42</v>
      </c>
      <c r="AB311" t="str">
        <f t="shared" si="23"/>
        <v>13224</v>
      </c>
      <c r="AC311" t="str">
        <f t="shared" si="24"/>
        <v>11312124</v>
      </c>
    </row>
    <row r="312" spans="1:29" x14ac:dyDescent="0.3">
      <c r="A312">
        <f>_xlfn.XLOOKUP(E312,Date_Dim!B:B,Date_Dim!A:A)</f>
        <v>277</v>
      </c>
      <c r="B312">
        <v>2024</v>
      </c>
      <c r="C312">
        <v>190</v>
      </c>
      <c r="D312">
        <v>2</v>
      </c>
      <c r="E312" s="1">
        <v>44395</v>
      </c>
      <c r="F312">
        <v>6</v>
      </c>
      <c r="G312" s="1">
        <v>44425</v>
      </c>
      <c r="H312" s="1">
        <v>44467</v>
      </c>
      <c r="I312">
        <v>4</v>
      </c>
      <c r="J312">
        <v>4</v>
      </c>
      <c r="K312">
        <v>1999</v>
      </c>
      <c r="L312">
        <v>6</v>
      </c>
      <c r="M312">
        <v>3000</v>
      </c>
      <c r="N312">
        <v>9</v>
      </c>
      <c r="O312">
        <v>1</v>
      </c>
      <c r="P312">
        <v>4</v>
      </c>
      <c r="Q312">
        <v>4</v>
      </c>
      <c r="R312">
        <v>4</v>
      </c>
      <c r="S312">
        <v>0</v>
      </c>
      <c r="T312">
        <v>4</v>
      </c>
      <c r="U312">
        <v>135</v>
      </c>
      <c r="V312">
        <v>1999.6000000000001</v>
      </c>
      <c r="W312">
        <v>5</v>
      </c>
      <c r="X312">
        <v>4999</v>
      </c>
      <c r="Y312">
        <f t="shared" si="20"/>
        <v>5134.6000000000004</v>
      </c>
      <c r="Z312">
        <f t="shared" si="21"/>
        <v>-135.60000000000036</v>
      </c>
      <c r="AA312">
        <f t="shared" si="22"/>
        <v>42</v>
      </c>
      <c r="AB312" t="str">
        <f t="shared" si="23"/>
        <v>4446</v>
      </c>
      <c r="AC312" t="str">
        <f t="shared" si="24"/>
        <v>4141416</v>
      </c>
    </row>
    <row r="313" spans="1:29" x14ac:dyDescent="0.3">
      <c r="A313">
        <f>_xlfn.XLOOKUP(E313,Date_Dim!B:B,Date_Dim!A:A)</f>
        <v>278</v>
      </c>
      <c r="B313">
        <v>2024</v>
      </c>
      <c r="C313">
        <v>191</v>
      </c>
      <c r="D313">
        <v>2</v>
      </c>
      <c r="E313" s="1">
        <v>43859</v>
      </c>
      <c r="F313">
        <v>33</v>
      </c>
      <c r="G313" s="1">
        <v>43889</v>
      </c>
      <c r="H313" s="1">
        <v>43903</v>
      </c>
      <c r="I313">
        <v>1</v>
      </c>
      <c r="J313">
        <v>5</v>
      </c>
      <c r="K313">
        <v>1459</v>
      </c>
      <c r="L313">
        <v>9</v>
      </c>
      <c r="M313">
        <v>1500</v>
      </c>
      <c r="N313">
        <v>4</v>
      </c>
      <c r="O313">
        <v>1</v>
      </c>
      <c r="P313">
        <v>4</v>
      </c>
      <c r="Q313">
        <v>4</v>
      </c>
      <c r="R313">
        <v>4</v>
      </c>
      <c r="S313">
        <v>0</v>
      </c>
      <c r="T313">
        <v>5</v>
      </c>
      <c r="U313">
        <v>155</v>
      </c>
      <c r="V313">
        <v>1183.6000000000001</v>
      </c>
      <c r="W313">
        <v>8</v>
      </c>
      <c r="X313">
        <v>2959</v>
      </c>
      <c r="Y313">
        <f t="shared" si="20"/>
        <v>2838.6000000000004</v>
      </c>
      <c r="Z313">
        <f t="shared" si="21"/>
        <v>120.39999999999964</v>
      </c>
      <c r="AA313">
        <f t="shared" si="22"/>
        <v>14</v>
      </c>
      <c r="AB313" t="str">
        <f t="shared" si="23"/>
        <v>45533</v>
      </c>
      <c r="AC313" t="str">
        <f t="shared" si="24"/>
        <v>41515133</v>
      </c>
    </row>
    <row r="314" spans="1:29" x14ac:dyDescent="0.3">
      <c r="A314">
        <f>_xlfn.XLOOKUP(E314,Date_Dim!B:B,Date_Dim!A:A)</f>
        <v>279</v>
      </c>
      <c r="B314">
        <v>2021</v>
      </c>
      <c r="C314">
        <v>191</v>
      </c>
      <c r="D314">
        <v>2</v>
      </c>
      <c r="E314" s="1">
        <v>45520</v>
      </c>
      <c r="F314">
        <v>18</v>
      </c>
      <c r="G314" s="1">
        <v>45550</v>
      </c>
      <c r="H314" s="1">
        <v>45578</v>
      </c>
      <c r="I314">
        <v>3</v>
      </c>
      <c r="J314">
        <v>2</v>
      </c>
      <c r="K314">
        <v>1689</v>
      </c>
      <c r="L314">
        <v>10</v>
      </c>
      <c r="M314">
        <v>2500</v>
      </c>
      <c r="N314">
        <v>6</v>
      </c>
      <c r="O314">
        <v>1</v>
      </c>
      <c r="P314">
        <v>2</v>
      </c>
      <c r="Q314">
        <v>2</v>
      </c>
      <c r="R314">
        <v>2</v>
      </c>
      <c r="S314">
        <v>6000</v>
      </c>
      <c r="T314">
        <v>2</v>
      </c>
      <c r="U314">
        <v>175</v>
      </c>
      <c r="V314">
        <v>4075.6000000000004</v>
      </c>
      <c r="W314">
        <v>3</v>
      </c>
      <c r="X314">
        <v>10189</v>
      </c>
      <c r="Y314">
        <f t="shared" si="20"/>
        <v>6750.6</v>
      </c>
      <c r="Z314">
        <f t="shared" si="21"/>
        <v>3438.3999999999996</v>
      </c>
      <c r="AA314">
        <f t="shared" si="22"/>
        <v>28</v>
      </c>
      <c r="AB314" t="str">
        <f t="shared" si="23"/>
        <v>22218</v>
      </c>
      <c r="AC314" t="str">
        <f t="shared" si="24"/>
        <v>21212118</v>
      </c>
    </row>
    <row r="315" spans="1:29" x14ac:dyDescent="0.3">
      <c r="A315">
        <f>_xlfn.XLOOKUP(E315,Date_Dim!B:B,Date_Dim!A:A)</f>
        <v>280</v>
      </c>
      <c r="B315">
        <v>2024</v>
      </c>
      <c r="C315">
        <v>192</v>
      </c>
      <c r="D315">
        <v>2</v>
      </c>
      <c r="E315" s="1">
        <v>45138</v>
      </c>
      <c r="F315">
        <v>9</v>
      </c>
      <c r="G315" s="1">
        <v>45168</v>
      </c>
      <c r="H315" s="1">
        <v>45224</v>
      </c>
      <c r="I315">
        <v>5</v>
      </c>
      <c r="J315">
        <v>3</v>
      </c>
      <c r="K315">
        <v>2699</v>
      </c>
      <c r="L315">
        <v>3</v>
      </c>
      <c r="M315">
        <v>3500</v>
      </c>
      <c r="N315">
        <v>12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6</v>
      </c>
      <c r="U315">
        <v>120</v>
      </c>
      <c r="V315">
        <v>1859.7000000000003</v>
      </c>
      <c r="W315">
        <v>1</v>
      </c>
      <c r="X315">
        <v>6199</v>
      </c>
      <c r="Y315">
        <f t="shared" si="20"/>
        <v>5479.7000000000007</v>
      </c>
      <c r="Z315">
        <f t="shared" si="21"/>
        <v>719.29999999999927</v>
      </c>
      <c r="AA315">
        <f t="shared" si="22"/>
        <v>56</v>
      </c>
      <c r="AB315" t="str">
        <f t="shared" si="23"/>
        <v>1369</v>
      </c>
      <c r="AC315" t="str">
        <f t="shared" si="24"/>
        <v>1131619</v>
      </c>
    </row>
    <row r="316" spans="1:29" x14ac:dyDescent="0.3">
      <c r="A316">
        <f>_xlfn.XLOOKUP(E316,Date_Dim!B:B,Date_Dim!A:A)</f>
        <v>281</v>
      </c>
      <c r="B316">
        <v>2021</v>
      </c>
      <c r="C316">
        <v>192</v>
      </c>
      <c r="D316">
        <v>2</v>
      </c>
      <c r="E316" s="1">
        <v>44162</v>
      </c>
      <c r="F316">
        <v>6</v>
      </c>
      <c r="G316" s="1">
        <v>44192</v>
      </c>
      <c r="H316" s="1">
        <v>44234</v>
      </c>
      <c r="I316">
        <v>4</v>
      </c>
      <c r="J316">
        <v>4</v>
      </c>
      <c r="K316">
        <v>1999</v>
      </c>
      <c r="L316">
        <v>6</v>
      </c>
      <c r="M316">
        <v>3000</v>
      </c>
      <c r="N316">
        <v>9</v>
      </c>
      <c r="O316">
        <v>1</v>
      </c>
      <c r="P316">
        <v>3</v>
      </c>
      <c r="Q316">
        <v>3</v>
      </c>
      <c r="R316">
        <v>3</v>
      </c>
      <c r="S316">
        <v>2000</v>
      </c>
      <c r="T316">
        <v>4</v>
      </c>
      <c r="U316">
        <v>135</v>
      </c>
      <c r="V316">
        <v>2799.6000000000004</v>
      </c>
      <c r="W316">
        <v>7</v>
      </c>
      <c r="X316">
        <v>6999</v>
      </c>
      <c r="Y316">
        <f t="shared" si="20"/>
        <v>5934.6</v>
      </c>
      <c r="Z316">
        <f t="shared" si="21"/>
        <v>1064.3999999999996</v>
      </c>
      <c r="AA316">
        <f t="shared" si="22"/>
        <v>42</v>
      </c>
      <c r="AB316" t="str">
        <f t="shared" si="23"/>
        <v>3446</v>
      </c>
      <c r="AC316" t="str">
        <f t="shared" si="24"/>
        <v>3141416</v>
      </c>
    </row>
    <row r="317" spans="1:29" x14ac:dyDescent="0.3">
      <c r="A317">
        <f>_xlfn.XLOOKUP(E317,Date_Dim!B:B,Date_Dim!A:A)</f>
        <v>282</v>
      </c>
      <c r="B317">
        <v>2022</v>
      </c>
      <c r="C317">
        <v>193</v>
      </c>
      <c r="D317">
        <v>2</v>
      </c>
      <c r="E317" s="1">
        <v>44754</v>
      </c>
      <c r="F317">
        <v>15</v>
      </c>
      <c r="G317" s="1">
        <v>44784</v>
      </c>
      <c r="H317" s="1">
        <v>44812</v>
      </c>
      <c r="I317">
        <v>3</v>
      </c>
      <c r="J317">
        <v>2</v>
      </c>
      <c r="K317">
        <v>1689</v>
      </c>
      <c r="L317">
        <v>10</v>
      </c>
      <c r="M317">
        <v>2500</v>
      </c>
      <c r="N317">
        <v>6</v>
      </c>
      <c r="O317">
        <v>1</v>
      </c>
      <c r="P317">
        <v>2</v>
      </c>
      <c r="Q317">
        <v>2</v>
      </c>
      <c r="R317">
        <v>2</v>
      </c>
      <c r="S317">
        <v>6000</v>
      </c>
      <c r="T317">
        <v>2</v>
      </c>
      <c r="U317">
        <v>175</v>
      </c>
      <c r="V317">
        <v>3056.7000000000003</v>
      </c>
      <c r="W317">
        <v>3</v>
      </c>
      <c r="X317">
        <v>10189</v>
      </c>
      <c r="Y317">
        <f t="shared" si="20"/>
        <v>5731.7000000000007</v>
      </c>
      <c r="Z317">
        <f t="shared" si="21"/>
        <v>4457.2999999999993</v>
      </c>
      <c r="AA317">
        <f t="shared" si="22"/>
        <v>28</v>
      </c>
      <c r="AB317" t="str">
        <f t="shared" si="23"/>
        <v>22215</v>
      </c>
      <c r="AC317" t="str">
        <f t="shared" si="24"/>
        <v>21212115</v>
      </c>
    </row>
    <row r="318" spans="1:29" x14ac:dyDescent="0.3">
      <c r="A318">
        <f>_xlfn.XLOOKUP(E318,Date_Dim!B:B,Date_Dim!A:A)</f>
        <v>283</v>
      </c>
      <c r="B318">
        <v>2024</v>
      </c>
      <c r="C318">
        <v>193</v>
      </c>
      <c r="D318">
        <v>2</v>
      </c>
      <c r="E318" s="1">
        <v>44070</v>
      </c>
      <c r="F318">
        <v>13</v>
      </c>
      <c r="G318" s="1">
        <v>44100</v>
      </c>
      <c r="H318" s="1">
        <v>44121</v>
      </c>
      <c r="I318">
        <v>2</v>
      </c>
      <c r="J318">
        <v>6</v>
      </c>
      <c r="K318">
        <v>1559</v>
      </c>
      <c r="L318">
        <v>11</v>
      </c>
      <c r="M318">
        <v>2500</v>
      </c>
      <c r="N318">
        <v>7</v>
      </c>
      <c r="O318">
        <v>1</v>
      </c>
      <c r="P318">
        <v>2</v>
      </c>
      <c r="Q318">
        <v>2</v>
      </c>
      <c r="R318">
        <v>2</v>
      </c>
      <c r="S318">
        <v>6000</v>
      </c>
      <c r="T318">
        <v>7</v>
      </c>
      <c r="U318">
        <v>25</v>
      </c>
      <c r="V318">
        <v>4023.6000000000004</v>
      </c>
      <c r="W318">
        <v>3</v>
      </c>
      <c r="X318">
        <v>10059</v>
      </c>
      <c r="Y318">
        <f t="shared" si="20"/>
        <v>6548.6</v>
      </c>
      <c r="Z318">
        <f t="shared" si="21"/>
        <v>3510.3999999999996</v>
      </c>
      <c r="AA318">
        <f t="shared" si="22"/>
        <v>21</v>
      </c>
      <c r="AB318" t="str">
        <f t="shared" si="23"/>
        <v>26713</v>
      </c>
      <c r="AC318" t="str">
        <f t="shared" si="24"/>
        <v>21617113</v>
      </c>
    </row>
    <row r="319" spans="1:29" x14ac:dyDescent="0.3">
      <c r="A319">
        <f>_xlfn.XLOOKUP(E319,Date_Dim!B:B,Date_Dim!A:A)</f>
        <v>284</v>
      </c>
      <c r="B319">
        <v>2021</v>
      </c>
      <c r="C319">
        <v>194</v>
      </c>
      <c r="D319">
        <v>2</v>
      </c>
      <c r="E319" s="1">
        <v>43973</v>
      </c>
      <c r="F319">
        <v>24</v>
      </c>
      <c r="G319" s="1">
        <v>44003</v>
      </c>
      <c r="H319" s="1">
        <v>44045</v>
      </c>
      <c r="I319">
        <v>4</v>
      </c>
      <c r="J319">
        <v>3</v>
      </c>
      <c r="K319">
        <v>1999</v>
      </c>
      <c r="L319">
        <v>3</v>
      </c>
      <c r="M319">
        <v>3000</v>
      </c>
      <c r="N319">
        <v>12</v>
      </c>
      <c r="O319">
        <v>1</v>
      </c>
      <c r="P319">
        <v>1</v>
      </c>
      <c r="Q319">
        <v>1</v>
      </c>
      <c r="R319">
        <v>1</v>
      </c>
      <c r="S319">
        <v>0</v>
      </c>
      <c r="T319">
        <v>2</v>
      </c>
      <c r="U319">
        <v>175</v>
      </c>
      <c r="V319">
        <v>1999.6000000000001</v>
      </c>
      <c r="W319">
        <v>1</v>
      </c>
      <c r="X319">
        <v>4999</v>
      </c>
      <c r="Y319">
        <f t="shared" si="20"/>
        <v>5174.6000000000004</v>
      </c>
      <c r="Z319">
        <f t="shared" si="21"/>
        <v>-175.60000000000036</v>
      </c>
      <c r="AA319">
        <f t="shared" si="22"/>
        <v>42</v>
      </c>
      <c r="AB319" t="str">
        <f t="shared" si="23"/>
        <v>13224</v>
      </c>
      <c r="AC319" t="str">
        <f t="shared" si="24"/>
        <v>11312124</v>
      </c>
    </row>
    <row r="320" spans="1:29" x14ac:dyDescent="0.3">
      <c r="A320">
        <f>_xlfn.XLOOKUP(E320,Date_Dim!B:B,Date_Dim!A:A)</f>
        <v>285</v>
      </c>
      <c r="B320">
        <v>2024</v>
      </c>
      <c r="C320">
        <v>194</v>
      </c>
      <c r="D320">
        <v>2</v>
      </c>
      <c r="E320" s="1">
        <v>45292</v>
      </c>
      <c r="F320">
        <v>6</v>
      </c>
      <c r="G320" s="1">
        <v>45322</v>
      </c>
      <c r="H320" s="1">
        <v>45364</v>
      </c>
      <c r="I320">
        <v>4</v>
      </c>
      <c r="J320">
        <v>4</v>
      </c>
      <c r="K320">
        <v>1999</v>
      </c>
      <c r="L320">
        <v>6</v>
      </c>
      <c r="M320">
        <v>3000</v>
      </c>
      <c r="N320">
        <v>9</v>
      </c>
      <c r="O320">
        <v>1</v>
      </c>
      <c r="P320">
        <v>4</v>
      </c>
      <c r="Q320">
        <v>4</v>
      </c>
      <c r="R320">
        <v>4</v>
      </c>
      <c r="S320">
        <v>0</v>
      </c>
      <c r="T320">
        <v>4</v>
      </c>
      <c r="U320">
        <v>135</v>
      </c>
      <c r="V320">
        <v>1499.7000000000003</v>
      </c>
      <c r="W320">
        <v>7</v>
      </c>
      <c r="X320">
        <v>4999</v>
      </c>
      <c r="Y320">
        <f t="shared" si="20"/>
        <v>4634.7000000000007</v>
      </c>
      <c r="Z320">
        <f t="shared" si="21"/>
        <v>364.29999999999927</v>
      </c>
      <c r="AA320">
        <f t="shared" si="22"/>
        <v>42</v>
      </c>
      <c r="AB320" t="str">
        <f t="shared" si="23"/>
        <v>4446</v>
      </c>
      <c r="AC320" t="str">
        <f t="shared" si="24"/>
        <v>4141416</v>
      </c>
    </row>
    <row r="321" spans="1:29" x14ac:dyDescent="0.3">
      <c r="A321">
        <f>_xlfn.XLOOKUP(E321,Date_Dim!B:B,Date_Dim!A:A)</f>
        <v>286</v>
      </c>
      <c r="B321">
        <v>2022</v>
      </c>
      <c r="C321">
        <v>195</v>
      </c>
      <c r="D321">
        <v>2</v>
      </c>
      <c r="E321" s="1">
        <v>44415</v>
      </c>
      <c r="F321">
        <v>5</v>
      </c>
      <c r="G321" s="1">
        <v>44445</v>
      </c>
      <c r="H321" s="1">
        <v>44501</v>
      </c>
      <c r="I321">
        <v>5</v>
      </c>
      <c r="J321">
        <v>4</v>
      </c>
      <c r="K321">
        <v>2699</v>
      </c>
      <c r="L321">
        <v>5</v>
      </c>
      <c r="M321">
        <v>5000</v>
      </c>
      <c r="N321">
        <v>8</v>
      </c>
      <c r="O321">
        <v>1</v>
      </c>
      <c r="P321">
        <v>5</v>
      </c>
      <c r="Q321">
        <v>5</v>
      </c>
      <c r="R321">
        <v>5</v>
      </c>
      <c r="S321">
        <v>8000</v>
      </c>
      <c r="T321">
        <v>3</v>
      </c>
      <c r="U321">
        <v>125</v>
      </c>
      <c r="V321">
        <v>6279.6</v>
      </c>
      <c r="W321">
        <v>4</v>
      </c>
      <c r="X321">
        <v>15699</v>
      </c>
      <c r="Y321">
        <f t="shared" si="20"/>
        <v>11404.6</v>
      </c>
      <c r="Z321">
        <f t="shared" si="21"/>
        <v>4294.3999999999996</v>
      </c>
      <c r="AA321">
        <f t="shared" si="22"/>
        <v>56</v>
      </c>
      <c r="AB321" t="str">
        <f t="shared" si="23"/>
        <v>5435</v>
      </c>
      <c r="AC321" t="str">
        <f t="shared" si="24"/>
        <v>5141315</v>
      </c>
    </row>
    <row r="322" spans="1:29" x14ac:dyDescent="0.3">
      <c r="A322">
        <f>_xlfn.XLOOKUP(E322,Date_Dim!B:B,Date_Dim!A:A)</f>
        <v>287</v>
      </c>
      <c r="B322">
        <v>2022</v>
      </c>
      <c r="C322">
        <v>196</v>
      </c>
      <c r="D322">
        <v>2</v>
      </c>
      <c r="E322" s="1">
        <v>44917</v>
      </c>
      <c r="F322">
        <v>2</v>
      </c>
      <c r="G322" s="1">
        <v>44947</v>
      </c>
      <c r="H322" s="1">
        <v>44989</v>
      </c>
      <c r="I322">
        <v>4</v>
      </c>
      <c r="J322">
        <v>2</v>
      </c>
      <c r="K322">
        <v>1999</v>
      </c>
      <c r="L322">
        <v>2</v>
      </c>
      <c r="M322">
        <v>4000</v>
      </c>
      <c r="N322">
        <v>14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2</v>
      </c>
      <c r="U322">
        <v>175</v>
      </c>
      <c r="V322">
        <v>2399.6</v>
      </c>
      <c r="W322">
        <v>2</v>
      </c>
      <c r="X322">
        <v>5999</v>
      </c>
      <c r="Y322">
        <f t="shared" ref="Y322:Y350" si="25">M322+U322+V322</f>
        <v>6574.6</v>
      </c>
      <c r="Z322">
        <f t="shared" ref="Z322:Z350" si="26">X322-Y322</f>
        <v>-575.60000000000036</v>
      </c>
      <c r="AA322">
        <f t="shared" ref="AA322:AA350" si="27">H322-G322</f>
        <v>42</v>
      </c>
      <c r="AB322" t="str">
        <f t="shared" ref="AB322:AB350" si="28">P322&amp;J322&amp;T322&amp;F322</f>
        <v>1222</v>
      </c>
      <c r="AC322" t="str">
        <f t="shared" ref="AC322:AC350" si="29">P322&amp;"1"&amp;J322&amp;"1"&amp;T322&amp;"1"&amp;F322</f>
        <v>1121212</v>
      </c>
    </row>
    <row r="323" spans="1:29" x14ac:dyDescent="0.3">
      <c r="A323">
        <f>_xlfn.XLOOKUP(E323,Date_Dim!B:B,Date_Dim!A:A)</f>
        <v>288</v>
      </c>
      <c r="B323">
        <v>2024</v>
      </c>
      <c r="C323">
        <v>196</v>
      </c>
      <c r="D323">
        <v>2</v>
      </c>
      <c r="E323" s="1">
        <v>44119</v>
      </c>
      <c r="F323">
        <v>11</v>
      </c>
      <c r="G323" s="1">
        <v>44149</v>
      </c>
      <c r="H323" s="1">
        <v>44163</v>
      </c>
      <c r="I323">
        <v>1</v>
      </c>
      <c r="J323">
        <v>2</v>
      </c>
      <c r="K323">
        <v>1459</v>
      </c>
      <c r="L323">
        <v>10</v>
      </c>
      <c r="M323">
        <v>2000</v>
      </c>
      <c r="N323">
        <v>6</v>
      </c>
      <c r="O323">
        <v>1</v>
      </c>
      <c r="P323">
        <v>2</v>
      </c>
      <c r="Q323">
        <v>2</v>
      </c>
      <c r="R323">
        <v>2</v>
      </c>
      <c r="S323">
        <v>6000</v>
      </c>
      <c r="T323">
        <v>2</v>
      </c>
      <c r="U323">
        <v>175</v>
      </c>
      <c r="V323">
        <v>3783.6000000000004</v>
      </c>
      <c r="W323">
        <v>3</v>
      </c>
      <c r="X323">
        <v>9459</v>
      </c>
      <c r="Y323">
        <f t="shared" si="25"/>
        <v>5958.6</v>
      </c>
      <c r="Z323">
        <f t="shared" si="26"/>
        <v>3500.3999999999996</v>
      </c>
      <c r="AA323">
        <f t="shared" si="27"/>
        <v>14</v>
      </c>
      <c r="AB323" t="str">
        <f t="shared" si="28"/>
        <v>22211</v>
      </c>
      <c r="AC323" t="str">
        <f t="shared" si="29"/>
        <v>21212111</v>
      </c>
    </row>
    <row r="324" spans="1:29" x14ac:dyDescent="0.3">
      <c r="A324">
        <f>_xlfn.XLOOKUP(E324,Date_Dim!B:B,Date_Dim!A:A)</f>
        <v>289</v>
      </c>
      <c r="B324">
        <v>2022</v>
      </c>
      <c r="C324">
        <v>197</v>
      </c>
      <c r="D324">
        <v>2</v>
      </c>
      <c r="E324" s="1">
        <v>45297</v>
      </c>
      <c r="F324">
        <v>28</v>
      </c>
      <c r="G324" s="1">
        <v>45327</v>
      </c>
      <c r="H324" s="1">
        <v>45355</v>
      </c>
      <c r="I324">
        <v>3</v>
      </c>
      <c r="J324">
        <v>3</v>
      </c>
      <c r="K324">
        <v>1689</v>
      </c>
      <c r="L324">
        <v>14</v>
      </c>
      <c r="M324">
        <v>2200</v>
      </c>
      <c r="N324">
        <v>10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175</v>
      </c>
      <c r="V324">
        <v>1166.7000000000003</v>
      </c>
      <c r="W324">
        <v>2</v>
      </c>
      <c r="X324">
        <v>3889</v>
      </c>
      <c r="Y324">
        <f t="shared" si="25"/>
        <v>3541.7000000000003</v>
      </c>
      <c r="Z324">
        <f t="shared" si="26"/>
        <v>347.29999999999973</v>
      </c>
      <c r="AA324">
        <f t="shared" si="27"/>
        <v>28</v>
      </c>
      <c r="AB324" t="str">
        <f t="shared" si="28"/>
        <v>13228</v>
      </c>
      <c r="AC324" t="str">
        <f t="shared" si="29"/>
        <v>11312128</v>
      </c>
    </row>
    <row r="325" spans="1:29" x14ac:dyDescent="0.3">
      <c r="A325">
        <f>_xlfn.XLOOKUP(E325,Date_Dim!B:B,Date_Dim!A:A)</f>
        <v>290</v>
      </c>
      <c r="B325">
        <v>2023</v>
      </c>
      <c r="C325">
        <v>198</v>
      </c>
      <c r="D325">
        <v>2</v>
      </c>
      <c r="E325" s="1">
        <v>45590</v>
      </c>
      <c r="F325">
        <v>27</v>
      </c>
      <c r="G325" s="1">
        <v>45620</v>
      </c>
      <c r="H325" s="1">
        <v>45648</v>
      </c>
      <c r="I325">
        <v>3</v>
      </c>
      <c r="J325">
        <v>1</v>
      </c>
      <c r="K325">
        <v>1689</v>
      </c>
      <c r="L325">
        <v>1</v>
      </c>
      <c r="M325">
        <v>4000</v>
      </c>
      <c r="N325">
        <v>15</v>
      </c>
      <c r="O325">
        <v>1</v>
      </c>
      <c r="P325">
        <v>4</v>
      </c>
      <c r="Q325">
        <v>4</v>
      </c>
      <c r="R325">
        <v>4</v>
      </c>
      <c r="S325">
        <v>0</v>
      </c>
      <c r="T325">
        <v>1</v>
      </c>
      <c r="U325">
        <v>0</v>
      </c>
      <c r="V325">
        <v>2275.6</v>
      </c>
      <c r="W325">
        <v>1</v>
      </c>
      <c r="X325">
        <v>5689</v>
      </c>
      <c r="Y325">
        <f t="shared" si="25"/>
        <v>6275.6</v>
      </c>
      <c r="Z325">
        <f t="shared" si="26"/>
        <v>-586.60000000000036</v>
      </c>
      <c r="AA325">
        <f t="shared" si="27"/>
        <v>28</v>
      </c>
      <c r="AB325" t="str">
        <f t="shared" si="28"/>
        <v>41127</v>
      </c>
      <c r="AC325" t="str">
        <f t="shared" si="29"/>
        <v>41111127</v>
      </c>
    </row>
    <row r="326" spans="1:29" x14ac:dyDescent="0.3">
      <c r="A326">
        <f>_xlfn.XLOOKUP(E326,Date_Dim!B:B,Date_Dim!A:A)</f>
        <v>291</v>
      </c>
      <c r="B326">
        <v>2020</v>
      </c>
      <c r="C326">
        <v>198</v>
      </c>
      <c r="D326">
        <v>2</v>
      </c>
      <c r="E326" s="1">
        <v>44633</v>
      </c>
      <c r="F326">
        <v>9</v>
      </c>
      <c r="G326" s="1">
        <v>44663</v>
      </c>
      <c r="H326" s="1">
        <v>44719</v>
      </c>
      <c r="I326">
        <v>5</v>
      </c>
      <c r="J326">
        <v>3</v>
      </c>
      <c r="K326">
        <v>2699</v>
      </c>
      <c r="L326">
        <v>3</v>
      </c>
      <c r="M326">
        <v>3500</v>
      </c>
      <c r="N326">
        <v>12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6</v>
      </c>
      <c r="U326">
        <v>120</v>
      </c>
      <c r="V326">
        <v>1859.7000000000003</v>
      </c>
      <c r="W326">
        <v>1</v>
      </c>
      <c r="X326">
        <v>6199</v>
      </c>
      <c r="Y326">
        <f t="shared" si="25"/>
        <v>5479.7000000000007</v>
      </c>
      <c r="Z326">
        <f t="shared" si="26"/>
        <v>719.29999999999927</v>
      </c>
      <c r="AA326">
        <f t="shared" si="27"/>
        <v>56</v>
      </c>
      <c r="AB326" t="str">
        <f t="shared" si="28"/>
        <v>1369</v>
      </c>
      <c r="AC326" t="str">
        <f t="shared" si="29"/>
        <v>1131619</v>
      </c>
    </row>
    <row r="327" spans="1:29" x14ac:dyDescent="0.3">
      <c r="A327">
        <f>_xlfn.XLOOKUP(E327,Date_Dim!B:B,Date_Dim!A:A)</f>
        <v>292</v>
      </c>
      <c r="B327">
        <v>2021</v>
      </c>
      <c r="C327">
        <v>199</v>
      </c>
      <c r="D327">
        <v>2</v>
      </c>
      <c r="E327" s="1">
        <v>45294</v>
      </c>
      <c r="F327">
        <v>25</v>
      </c>
      <c r="G327" s="1">
        <v>45324</v>
      </c>
      <c r="H327" s="1">
        <v>45345</v>
      </c>
      <c r="I327">
        <v>2</v>
      </c>
      <c r="J327">
        <v>6</v>
      </c>
      <c r="K327">
        <v>1559</v>
      </c>
      <c r="L327">
        <v>13</v>
      </c>
      <c r="M327">
        <v>5000</v>
      </c>
      <c r="N327">
        <v>20</v>
      </c>
      <c r="O327">
        <v>1</v>
      </c>
      <c r="P327">
        <v>2</v>
      </c>
      <c r="Q327">
        <v>2</v>
      </c>
      <c r="R327">
        <v>2</v>
      </c>
      <c r="S327">
        <v>6000</v>
      </c>
      <c r="T327">
        <v>7</v>
      </c>
      <c r="U327">
        <v>25</v>
      </c>
      <c r="V327">
        <v>3767.7000000000007</v>
      </c>
      <c r="W327">
        <v>3</v>
      </c>
      <c r="X327">
        <v>12559</v>
      </c>
      <c r="Y327">
        <f t="shared" si="25"/>
        <v>8792.7000000000007</v>
      </c>
      <c r="Z327">
        <f t="shared" si="26"/>
        <v>3766.2999999999993</v>
      </c>
      <c r="AA327">
        <f t="shared" si="27"/>
        <v>21</v>
      </c>
      <c r="AB327" t="str">
        <f t="shared" si="28"/>
        <v>26725</v>
      </c>
      <c r="AC327" t="str">
        <f t="shared" si="29"/>
        <v>21617125</v>
      </c>
    </row>
    <row r="328" spans="1:29" x14ac:dyDescent="0.3">
      <c r="A328">
        <f>_xlfn.XLOOKUP(E328,Date_Dim!B:B,Date_Dim!A:A)</f>
        <v>128</v>
      </c>
      <c r="B328">
        <v>2022</v>
      </c>
      <c r="C328">
        <v>200</v>
      </c>
      <c r="D328">
        <v>2</v>
      </c>
      <c r="E328" s="1">
        <v>44709</v>
      </c>
      <c r="F328">
        <v>23</v>
      </c>
      <c r="G328" s="1">
        <v>44739</v>
      </c>
      <c r="H328" s="1">
        <v>44767</v>
      </c>
      <c r="I328">
        <v>3</v>
      </c>
      <c r="J328">
        <v>2</v>
      </c>
      <c r="K328">
        <v>1689</v>
      </c>
      <c r="L328">
        <v>2</v>
      </c>
      <c r="M328">
        <v>3000</v>
      </c>
      <c r="N328">
        <v>14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2</v>
      </c>
      <c r="U328">
        <v>175</v>
      </c>
      <c r="V328">
        <v>1406.7000000000003</v>
      </c>
      <c r="W328">
        <v>2</v>
      </c>
      <c r="X328">
        <v>4689</v>
      </c>
      <c r="Y328">
        <f t="shared" si="25"/>
        <v>4581.7000000000007</v>
      </c>
      <c r="Z328">
        <f t="shared" si="26"/>
        <v>107.29999999999927</v>
      </c>
      <c r="AA328">
        <f t="shared" si="27"/>
        <v>28</v>
      </c>
      <c r="AB328" t="str">
        <f t="shared" si="28"/>
        <v>12223</v>
      </c>
      <c r="AC328" t="str">
        <f t="shared" si="29"/>
        <v>11212123</v>
      </c>
    </row>
    <row r="329" spans="1:29" x14ac:dyDescent="0.3">
      <c r="A329">
        <f>_xlfn.XLOOKUP(E329,Date_Dim!B:B,Date_Dim!A:A)</f>
        <v>293</v>
      </c>
      <c r="B329">
        <v>2024</v>
      </c>
      <c r="C329">
        <v>200</v>
      </c>
      <c r="D329">
        <v>2</v>
      </c>
      <c r="E329" s="1">
        <v>45607</v>
      </c>
      <c r="F329">
        <v>19</v>
      </c>
      <c r="G329" s="1">
        <v>45637</v>
      </c>
      <c r="H329" s="1">
        <v>45693</v>
      </c>
      <c r="I329">
        <v>5</v>
      </c>
      <c r="J329">
        <v>6</v>
      </c>
      <c r="K329">
        <v>2699</v>
      </c>
      <c r="L329">
        <v>8</v>
      </c>
      <c r="M329">
        <v>3200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6000</v>
      </c>
      <c r="T329">
        <v>2</v>
      </c>
      <c r="U329">
        <v>175</v>
      </c>
      <c r="V329">
        <v>3569.7000000000007</v>
      </c>
      <c r="W329">
        <v>3</v>
      </c>
      <c r="X329">
        <v>11899</v>
      </c>
      <c r="Y329">
        <f t="shared" si="25"/>
        <v>6944.7000000000007</v>
      </c>
      <c r="Z329">
        <f t="shared" si="26"/>
        <v>4954.2999999999993</v>
      </c>
      <c r="AA329">
        <f t="shared" si="27"/>
        <v>56</v>
      </c>
      <c r="AB329" t="str">
        <f t="shared" si="28"/>
        <v>26219</v>
      </c>
      <c r="AC329" t="str">
        <f t="shared" si="29"/>
        <v>21612119</v>
      </c>
    </row>
    <row r="330" spans="1:29" x14ac:dyDescent="0.3">
      <c r="A330">
        <f>_xlfn.XLOOKUP(E330,Date_Dim!B:B,Date_Dim!A:A)</f>
        <v>42</v>
      </c>
      <c r="B330">
        <v>2023</v>
      </c>
      <c r="C330">
        <v>201</v>
      </c>
      <c r="D330">
        <v>2</v>
      </c>
      <c r="E330" s="1">
        <v>44397</v>
      </c>
      <c r="F330">
        <v>16</v>
      </c>
      <c r="G330" s="1">
        <v>44427</v>
      </c>
      <c r="H330" s="1">
        <v>44483</v>
      </c>
      <c r="I330">
        <v>5</v>
      </c>
      <c r="J330">
        <v>6</v>
      </c>
      <c r="K330">
        <v>2699</v>
      </c>
      <c r="L330">
        <v>11</v>
      </c>
      <c r="M330">
        <v>3000</v>
      </c>
      <c r="N330">
        <v>7</v>
      </c>
      <c r="O330">
        <v>1</v>
      </c>
      <c r="P330">
        <v>2</v>
      </c>
      <c r="Q330">
        <v>2</v>
      </c>
      <c r="R330">
        <v>2</v>
      </c>
      <c r="S330">
        <v>6000</v>
      </c>
      <c r="T330">
        <v>2</v>
      </c>
      <c r="U330">
        <v>175</v>
      </c>
      <c r="V330">
        <v>3509.7000000000007</v>
      </c>
      <c r="W330">
        <v>3</v>
      </c>
      <c r="X330">
        <v>11699</v>
      </c>
      <c r="Y330">
        <f t="shared" si="25"/>
        <v>6684.7000000000007</v>
      </c>
      <c r="Z330">
        <f t="shared" si="26"/>
        <v>5014.2999999999993</v>
      </c>
      <c r="AA330">
        <f t="shared" si="27"/>
        <v>56</v>
      </c>
      <c r="AB330" t="str">
        <f t="shared" si="28"/>
        <v>26216</v>
      </c>
      <c r="AC330" t="str">
        <f t="shared" si="29"/>
        <v>21612116</v>
      </c>
    </row>
    <row r="331" spans="1:29" x14ac:dyDescent="0.3">
      <c r="A331">
        <f>_xlfn.XLOOKUP(E331,Date_Dim!B:B,Date_Dim!A:A)</f>
        <v>294</v>
      </c>
      <c r="B331">
        <v>2023</v>
      </c>
      <c r="C331">
        <v>202</v>
      </c>
      <c r="D331">
        <v>2</v>
      </c>
      <c r="E331" s="1">
        <v>43842</v>
      </c>
      <c r="F331">
        <v>23</v>
      </c>
      <c r="G331" s="1">
        <v>43872</v>
      </c>
      <c r="H331" s="1">
        <v>43900</v>
      </c>
      <c r="I331">
        <v>3</v>
      </c>
      <c r="J331">
        <v>2</v>
      </c>
      <c r="K331">
        <v>1689</v>
      </c>
      <c r="L331">
        <v>2</v>
      </c>
      <c r="M331">
        <v>3000</v>
      </c>
      <c r="N331">
        <v>14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2</v>
      </c>
      <c r="U331">
        <v>175</v>
      </c>
      <c r="V331">
        <v>1406.7000000000003</v>
      </c>
      <c r="W331">
        <v>2</v>
      </c>
      <c r="X331">
        <v>4689</v>
      </c>
      <c r="Y331">
        <f t="shared" si="25"/>
        <v>4581.7000000000007</v>
      </c>
      <c r="Z331">
        <f t="shared" si="26"/>
        <v>107.29999999999927</v>
      </c>
      <c r="AA331">
        <f t="shared" si="27"/>
        <v>28</v>
      </c>
      <c r="AB331" t="str">
        <f t="shared" si="28"/>
        <v>12223</v>
      </c>
      <c r="AC331" t="str">
        <f t="shared" si="29"/>
        <v>11212123</v>
      </c>
    </row>
    <row r="332" spans="1:29" x14ac:dyDescent="0.3">
      <c r="A332">
        <f>_xlfn.XLOOKUP(E332,Date_Dim!B:B,Date_Dim!A:A)</f>
        <v>295</v>
      </c>
      <c r="B332">
        <v>2020</v>
      </c>
      <c r="C332">
        <v>202</v>
      </c>
      <c r="D332">
        <v>2</v>
      </c>
      <c r="E332" s="1">
        <v>44650</v>
      </c>
      <c r="F332">
        <v>11</v>
      </c>
      <c r="G332" s="1">
        <v>44680</v>
      </c>
      <c r="H332" s="1">
        <v>44694</v>
      </c>
      <c r="I332">
        <v>1</v>
      </c>
      <c r="J332">
        <v>2</v>
      </c>
      <c r="K332">
        <v>1459</v>
      </c>
      <c r="L332">
        <v>10</v>
      </c>
      <c r="M332">
        <v>2000</v>
      </c>
      <c r="N332">
        <v>6</v>
      </c>
      <c r="O332">
        <v>1</v>
      </c>
      <c r="P332">
        <v>2</v>
      </c>
      <c r="Q332">
        <v>2</v>
      </c>
      <c r="R332">
        <v>2</v>
      </c>
      <c r="S332">
        <v>6000</v>
      </c>
      <c r="T332">
        <v>2</v>
      </c>
      <c r="U332">
        <v>175</v>
      </c>
      <c r="V332">
        <v>3783.6000000000004</v>
      </c>
      <c r="W332">
        <v>3</v>
      </c>
      <c r="X332">
        <v>9459</v>
      </c>
      <c r="Y332">
        <f t="shared" si="25"/>
        <v>5958.6</v>
      </c>
      <c r="Z332">
        <f t="shared" si="26"/>
        <v>3500.3999999999996</v>
      </c>
      <c r="AA332">
        <f t="shared" si="27"/>
        <v>14</v>
      </c>
      <c r="AB332" t="str">
        <f t="shared" si="28"/>
        <v>22211</v>
      </c>
      <c r="AC332" t="str">
        <f t="shared" si="29"/>
        <v>21212111</v>
      </c>
    </row>
    <row r="333" spans="1:29" x14ac:dyDescent="0.3">
      <c r="A333">
        <f>_xlfn.XLOOKUP(E333,Date_Dim!B:B,Date_Dim!A:A)</f>
        <v>296</v>
      </c>
      <c r="B333">
        <v>2024</v>
      </c>
      <c r="C333">
        <v>203</v>
      </c>
      <c r="D333">
        <v>2</v>
      </c>
      <c r="E333" s="1">
        <v>45534</v>
      </c>
      <c r="F333">
        <v>35</v>
      </c>
      <c r="G333" s="1">
        <v>45564</v>
      </c>
      <c r="H333" s="1">
        <v>45592</v>
      </c>
      <c r="I333">
        <v>3</v>
      </c>
      <c r="J333">
        <v>4</v>
      </c>
      <c r="K333">
        <v>1689</v>
      </c>
      <c r="L333">
        <v>15</v>
      </c>
      <c r="M333">
        <v>4000</v>
      </c>
      <c r="N333">
        <v>3</v>
      </c>
      <c r="O333">
        <v>1</v>
      </c>
      <c r="P333">
        <v>4</v>
      </c>
      <c r="Q333">
        <v>4</v>
      </c>
      <c r="R333">
        <v>4</v>
      </c>
      <c r="S333">
        <v>0</v>
      </c>
      <c r="T333">
        <v>5</v>
      </c>
      <c r="U333">
        <v>155</v>
      </c>
      <c r="V333">
        <v>2275.6</v>
      </c>
      <c r="W333">
        <v>6</v>
      </c>
      <c r="X333">
        <v>5689</v>
      </c>
      <c r="Y333">
        <f t="shared" si="25"/>
        <v>6430.6</v>
      </c>
      <c r="Z333">
        <f t="shared" si="26"/>
        <v>-741.60000000000036</v>
      </c>
      <c r="AA333">
        <f t="shared" si="27"/>
        <v>28</v>
      </c>
      <c r="AB333" t="str">
        <f t="shared" si="28"/>
        <v>44535</v>
      </c>
      <c r="AC333" t="str">
        <f t="shared" si="29"/>
        <v>41415135</v>
      </c>
    </row>
    <row r="334" spans="1:29" x14ac:dyDescent="0.3">
      <c r="A334">
        <f>_xlfn.XLOOKUP(E334,Date_Dim!B:B,Date_Dim!A:A)</f>
        <v>149</v>
      </c>
      <c r="B334">
        <v>2022</v>
      </c>
      <c r="C334">
        <v>203</v>
      </c>
      <c r="D334">
        <v>2</v>
      </c>
      <c r="E334" s="1">
        <v>45553</v>
      </c>
      <c r="F334">
        <v>6</v>
      </c>
      <c r="G334" s="1">
        <v>45583</v>
      </c>
      <c r="H334" s="1">
        <v>45625</v>
      </c>
      <c r="I334">
        <v>4</v>
      </c>
      <c r="J334">
        <v>4</v>
      </c>
      <c r="K334">
        <v>1999</v>
      </c>
      <c r="L334">
        <v>6</v>
      </c>
      <c r="M334">
        <v>3000</v>
      </c>
      <c r="N334">
        <v>9</v>
      </c>
      <c r="O334">
        <v>1</v>
      </c>
      <c r="P334">
        <v>4</v>
      </c>
      <c r="Q334">
        <v>4</v>
      </c>
      <c r="R334">
        <v>4</v>
      </c>
      <c r="S334">
        <v>0</v>
      </c>
      <c r="T334">
        <v>4</v>
      </c>
      <c r="U334">
        <v>135</v>
      </c>
      <c r="V334">
        <v>1499.7000000000003</v>
      </c>
      <c r="W334">
        <v>5</v>
      </c>
      <c r="X334">
        <v>4999</v>
      </c>
      <c r="Y334">
        <f t="shared" si="25"/>
        <v>4634.7000000000007</v>
      </c>
      <c r="Z334">
        <f t="shared" si="26"/>
        <v>364.29999999999927</v>
      </c>
      <c r="AA334">
        <f t="shared" si="27"/>
        <v>42</v>
      </c>
      <c r="AB334" t="str">
        <f t="shared" si="28"/>
        <v>4446</v>
      </c>
      <c r="AC334" t="str">
        <f t="shared" si="29"/>
        <v>4141416</v>
      </c>
    </row>
    <row r="335" spans="1:29" x14ac:dyDescent="0.3">
      <c r="A335">
        <f>_xlfn.XLOOKUP(E335,Date_Dim!B:B,Date_Dim!A:A)</f>
        <v>297</v>
      </c>
      <c r="B335">
        <v>2020</v>
      </c>
      <c r="C335">
        <v>204</v>
      </c>
      <c r="D335">
        <v>2</v>
      </c>
      <c r="E335" s="1">
        <v>44187</v>
      </c>
      <c r="F335">
        <v>2</v>
      </c>
      <c r="G335" s="1">
        <v>44217</v>
      </c>
      <c r="H335" s="1">
        <v>44259</v>
      </c>
      <c r="I335">
        <v>4</v>
      </c>
      <c r="J335">
        <v>2</v>
      </c>
      <c r="K335">
        <v>1999</v>
      </c>
      <c r="L335">
        <v>2</v>
      </c>
      <c r="M335">
        <v>4000</v>
      </c>
      <c r="N335">
        <v>14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2</v>
      </c>
      <c r="U335">
        <v>175</v>
      </c>
      <c r="V335">
        <v>2399.6</v>
      </c>
      <c r="W335">
        <v>2</v>
      </c>
      <c r="X335">
        <v>5999</v>
      </c>
      <c r="Y335">
        <f t="shared" si="25"/>
        <v>6574.6</v>
      </c>
      <c r="Z335">
        <f t="shared" si="26"/>
        <v>-575.60000000000036</v>
      </c>
      <c r="AA335">
        <f t="shared" si="27"/>
        <v>42</v>
      </c>
      <c r="AB335" t="str">
        <f t="shared" si="28"/>
        <v>1222</v>
      </c>
      <c r="AC335" t="str">
        <f t="shared" si="29"/>
        <v>1121212</v>
      </c>
    </row>
    <row r="336" spans="1:29" x14ac:dyDescent="0.3">
      <c r="A336">
        <f>_xlfn.XLOOKUP(E336,Date_Dim!B:B,Date_Dim!A:A)</f>
        <v>298</v>
      </c>
      <c r="B336">
        <v>2023</v>
      </c>
      <c r="C336">
        <v>204</v>
      </c>
      <c r="D336">
        <v>2</v>
      </c>
      <c r="E336" s="1">
        <v>44685</v>
      </c>
      <c r="F336">
        <v>3</v>
      </c>
      <c r="G336" s="1">
        <v>44715</v>
      </c>
      <c r="H336" s="1">
        <v>44743</v>
      </c>
      <c r="I336">
        <v>3</v>
      </c>
      <c r="J336">
        <v>3</v>
      </c>
      <c r="K336">
        <v>1689</v>
      </c>
      <c r="L336">
        <v>3</v>
      </c>
      <c r="M336">
        <v>2000</v>
      </c>
      <c r="N336">
        <v>12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2</v>
      </c>
      <c r="U336">
        <v>175</v>
      </c>
      <c r="V336">
        <v>1106.7000000000003</v>
      </c>
      <c r="W336">
        <v>2</v>
      </c>
      <c r="X336">
        <v>3689</v>
      </c>
      <c r="Y336">
        <f t="shared" si="25"/>
        <v>3281.7000000000003</v>
      </c>
      <c r="Z336">
        <f t="shared" si="26"/>
        <v>407.29999999999973</v>
      </c>
      <c r="AA336">
        <f t="shared" si="27"/>
        <v>28</v>
      </c>
      <c r="AB336" t="str">
        <f t="shared" si="28"/>
        <v>1323</v>
      </c>
      <c r="AC336" t="str">
        <f t="shared" si="29"/>
        <v>1131213</v>
      </c>
    </row>
    <row r="337" spans="1:29" x14ac:dyDescent="0.3">
      <c r="A337">
        <f>_xlfn.XLOOKUP(E337,Date_Dim!B:B,Date_Dim!A:A)</f>
        <v>299</v>
      </c>
      <c r="B337">
        <v>2022</v>
      </c>
      <c r="C337">
        <v>205</v>
      </c>
      <c r="D337">
        <v>2</v>
      </c>
      <c r="E337" s="1">
        <v>44150</v>
      </c>
      <c r="F337">
        <v>5</v>
      </c>
      <c r="G337" s="1">
        <v>44180</v>
      </c>
      <c r="H337" s="1">
        <v>44236</v>
      </c>
      <c r="I337">
        <v>5</v>
      </c>
      <c r="J337">
        <v>4</v>
      </c>
      <c r="K337">
        <v>2699</v>
      </c>
      <c r="L337">
        <v>5</v>
      </c>
      <c r="M337">
        <v>5000</v>
      </c>
      <c r="N337">
        <v>8</v>
      </c>
      <c r="O337">
        <v>1</v>
      </c>
      <c r="P337">
        <v>3</v>
      </c>
      <c r="Q337">
        <v>3</v>
      </c>
      <c r="R337">
        <v>3</v>
      </c>
      <c r="S337">
        <v>2000</v>
      </c>
      <c r="T337">
        <v>4</v>
      </c>
      <c r="U337">
        <v>135</v>
      </c>
      <c r="V337">
        <v>2909.7000000000003</v>
      </c>
      <c r="W337">
        <v>7</v>
      </c>
      <c r="X337">
        <v>9699</v>
      </c>
      <c r="Y337">
        <f t="shared" si="25"/>
        <v>8044.7000000000007</v>
      </c>
      <c r="Z337">
        <f t="shared" si="26"/>
        <v>1654.2999999999993</v>
      </c>
      <c r="AA337">
        <f t="shared" si="27"/>
        <v>56</v>
      </c>
      <c r="AB337" t="str">
        <f t="shared" si="28"/>
        <v>3445</v>
      </c>
      <c r="AC337" t="str">
        <f t="shared" si="29"/>
        <v>3141415</v>
      </c>
    </row>
    <row r="338" spans="1:29" x14ac:dyDescent="0.3">
      <c r="A338">
        <f>_xlfn.XLOOKUP(E338,Date_Dim!B:B,Date_Dim!A:A)</f>
        <v>300</v>
      </c>
      <c r="B338">
        <v>2022</v>
      </c>
      <c r="C338">
        <v>206</v>
      </c>
      <c r="D338">
        <v>2</v>
      </c>
      <c r="E338" s="1">
        <v>44853</v>
      </c>
      <c r="F338">
        <v>23</v>
      </c>
      <c r="G338" s="1">
        <v>44883</v>
      </c>
      <c r="H338" s="1">
        <v>44911</v>
      </c>
      <c r="I338">
        <v>3</v>
      </c>
      <c r="J338">
        <v>2</v>
      </c>
      <c r="K338">
        <v>1689</v>
      </c>
      <c r="L338">
        <v>2</v>
      </c>
      <c r="M338">
        <v>3000</v>
      </c>
      <c r="N338">
        <v>14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2</v>
      </c>
      <c r="U338">
        <v>175</v>
      </c>
      <c r="V338">
        <v>1406.7000000000003</v>
      </c>
      <c r="W338">
        <v>2</v>
      </c>
      <c r="X338">
        <v>4689</v>
      </c>
      <c r="Y338">
        <f t="shared" si="25"/>
        <v>4581.7000000000007</v>
      </c>
      <c r="Z338">
        <f t="shared" si="26"/>
        <v>107.29999999999927</v>
      </c>
      <c r="AA338">
        <f t="shared" si="27"/>
        <v>28</v>
      </c>
      <c r="AB338" t="str">
        <f t="shared" si="28"/>
        <v>12223</v>
      </c>
      <c r="AC338" t="str">
        <f t="shared" si="29"/>
        <v>11212123</v>
      </c>
    </row>
    <row r="339" spans="1:29" x14ac:dyDescent="0.3">
      <c r="A339">
        <f>_xlfn.XLOOKUP(E339,Date_Dim!B:B,Date_Dim!A:A)</f>
        <v>301</v>
      </c>
      <c r="B339">
        <v>2024</v>
      </c>
      <c r="C339">
        <v>206</v>
      </c>
      <c r="D339">
        <v>2</v>
      </c>
      <c r="E339" s="1">
        <v>45595</v>
      </c>
      <c r="F339">
        <v>19</v>
      </c>
      <c r="G339" s="1">
        <v>45625</v>
      </c>
      <c r="H339" s="1">
        <v>45681</v>
      </c>
      <c r="I339">
        <v>5</v>
      </c>
      <c r="J339">
        <v>6</v>
      </c>
      <c r="K339">
        <v>2699</v>
      </c>
      <c r="L339">
        <v>8</v>
      </c>
      <c r="M339">
        <v>3200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6000</v>
      </c>
      <c r="T339">
        <v>2</v>
      </c>
      <c r="U339">
        <v>175</v>
      </c>
      <c r="V339">
        <v>4759.6000000000004</v>
      </c>
      <c r="W339">
        <v>3</v>
      </c>
      <c r="X339">
        <v>11899</v>
      </c>
      <c r="Y339">
        <f t="shared" si="25"/>
        <v>8134.6</v>
      </c>
      <c r="Z339">
        <f t="shared" si="26"/>
        <v>3764.3999999999996</v>
      </c>
      <c r="AA339">
        <f t="shared" si="27"/>
        <v>56</v>
      </c>
      <c r="AB339" t="str">
        <f t="shared" si="28"/>
        <v>26219</v>
      </c>
      <c r="AC339" t="str">
        <f t="shared" si="29"/>
        <v>21612119</v>
      </c>
    </row>
    <row r="340" spans="1:29" x14ac:dyDescent="0.3">
      <c r="A340">
        <f>_xlfn.XLOOKUP(E340,Date_Dim!B:B,Date_Dim!A:A)</f>
        <v>143</v>
      </c>
      <c r="B340">
        <v>2023</v>
      </c>
      <c r="C340">
        <v>207</v>
      </c>
      <c r="D340">
        <v>2</v>
      </c>
      <c r="E340" s="1">
        <v>44215</v>
      </c>
      <c r="F340">
        <v>6</v>
      </c>
      <c r="G340" s="1">
        <v>44245</v>
      </c>
      <c r="H340" s="1">
        <v>44287</v>
      </c>
      <c r="I340">
        <v>4</v>
      </c>
      <c r="J340">
        <v>4</v>
      </c>
      <c r="K340">
        <v>1999</v>
      </c>
      <c r="L340">
        <v>6</v>
      </c>
      <c r="M340">
        <v>3000</v>
      </c>
      <c r="N340">
        <v>9</v>
      </c>
      <c r="O340">
        <v>1</v>
      </c>
      <c r="P340">
        <v>3</v>
      </c>
      <c r="Q340">
        <v>3</v>
      </c>
      <c r="R340">
        <v>3</v>
      </c>
      <c r="S340">
        <v>2000</v>
      </c>
      <c r="T340">
        <v>4</v>
      </c>
      <c r="U340">
        <v>135</v>
      </c>
      <c r="V340">
        <v>2099.7000000000003</v>
      </c>
      <c r="W340">
        <v>7</v>
      </c>
      <c r="X340">
        <v>6999</v>
      </c>
      <c r="Y340">
        <f t="shared" si="25"/>
        <v>5234.7000000000007</v>
      </c>
      <c r="Z340">
        <f t="shared" si="26"/>
        <v>1764.2999999999993</v>
      </c>
      <c r="AA340">
        <f t="shared" si="27"/>
        <v>42</v>
      </c>
      <c r="AB340" t="str">
        <f t="shared" si="28"/>
        <v>3446</v>
      </c>
      <c r="AC340" t="str">
        <f t="shared" si="29"/>
        <v>3141416</v>
      </c>
    </row>
    <row r="341" spans="1:29" x14ac:dyDescent="0.3">
      <c r="A341">
        <f>_xlfn.XLOOKUP(E341,Date_Dim!B:B,Date_Dim!A:A)</f>
        <v>302</v>
      </c>
      <c r="B341">
        <v>2023</v>
      </c>
      <c r="C341">
        <v>208</v>
      </c>
      <c r="D341">
        <v>2</v>
      </c>
      <c r="E341" s="1">
        <v>44118</v>
      </c>
      <c r="F341">
        <v>13</v>
      </c>
      <c r="G341" s="1">
        <v>44148</v>
      </c>
      <c r="H341" s="1">
        <v>44169</v>
      </c>
      <c r="I341">
        <v>2</v>
      </c>
      <c r="J341">
        <v>6</v>
      </c>
      <c r="K341">
        <v>1559</v>
      </c>
      <c r="L341">
        <v>11</v>
      </c>
      <c r="M341">
        <v>2500</v>
      </c>
      <c r="N341">
        <v>7</v>
      </c>
      <c r="O341">
        <v>1</v>
      </c>
      <c r="P341">
        <v>2</v>
      </c>
      <c r="Q341">
        <v>2</v>
      </c>
      <c r="R341">
        <v>2</v>
      </c>
      <c r="S341">
        <v>6000</v>
      </c>
      <c r="T341">
        <v>7</v>
      </c>
      <c r="U341">
        <v>25</v>
      </c>
      <c r="V341">
        <v>4023.6000000000004</v>
      </c>
      <c r="W341">
        <v>3</v>
      </c>
      <c r="X341">
        <v>10059</v>
      </c>
      <c r="Y341">
        <f t="shared" si="25"/>
        <v>6548.6</v>
      </c>
      <c r="Z341">
        <f t="shared" si="26"/>
        <v>3510.3999999999996</v>
      </c>
      <c r="AA341">
        <f t="shared" si="27"/>
        <v>21</v>
      </c>
      <c r="AB341" t="str">
        <f t="shared" si="28"/>
        <v>26713</v>
      </c>
      <c r="AC341" t="str">
        <f t="shared" si="29"/>
        <v>21617113</v>
      </c>
    </row>
    <row r="342" spans="1:29" x14ac:dyDescent="0.3">
      <c r="A342">
        <f>_xlfn.XLOOKUP(E342,Date_Dim!B:B,Date_Dim!A:A)</f>
        <v>303</v>
      </c>
      <c r="B342">
        <v>2023</v>
      </c>
      <c r="C342">
        <v>209</v>
      </c>
      <c r="D342">
        <v>2</v>
      </c>
      <c r="E342" s="1">
        <v>44551</v>
      </c>
      <c r="F342">
        <v>9</v>
      </c>
      <c r="G342" s="1">
        <v>44581</v>
      </c>
      <c r="H342" s="1">
        <v>44637</v>
      </c>
      <c r="I342">
        <v>5</v>
      </c>
      <c r="J342">
        <v>3</v>
      </c>
      <c r="K342">
        <v>2699</v>
      </c>
      <c r="L342">
        <v>3</v>
      </c>
      <c r="M342">
        <v>3500</v>
      </c>
      <c r="N342">
        <v>12</v>
      </c>
      <c r="O342">
        <v>1</v>
      </c>
      <c r="P342">
        <v>1</v>
      </c>
      <c r="Q342">
        <v>1</v>
      </c>
      <c r="R342">
        <v>1</v>
      </c>
      <c r="S342">
        <v>0</v>
      </c>
      <c r="T342">
        <v>1</v>
      </c>
      <c r="U342">
        <v>0</v>
      </c>
      <c r="V342">
        <v>2479.6000000000004</v>
      </c>
      <c r="W342">
        <v>1</v>
      </c>
      <c r="X342">
        <v>6199</v>
      </c>
      <c r="Y342">
        <f t="shared" si="25"/>
        <v>5979.6</v>
      </c>
      <c r="Z342">
        <f t="shared" si="26"/>
        <v>219.39999999999964</v>
      </c>
      <c r="AA342">
        <f t="shared" si="27"/>
        <v>56</v>
      </c>
      <c r="AB342" t="str">
        <f t="shared" si="28"/>
        <v>1319</v>
      </c>
      <c r="AC342" t="str">
        <f t="shared" si="29"/>
        <v>1131119</v>
      </c>
    </row>
    <row r="343" spans="1:29" x14ac:dyDescent="0.3">
      <c r="A343">
        <f>_xlfn.XLOOKUP(E343,Date_Dim!B:B,Date_Dim!A:A)</f>
        <v>86</v>
      </c>
      <c r="B343">
        <v>2020</v>
      </c>
      <c r="C343">
        <v>209</v>
      </c>
      <c r="D343">
        <v>2</v>
      </c>
      <c r="E343" s="1">
        <v>44021</v>
      </c>
      <c r="F343">
        <v>24</v>
      </c>
      <c r="G343" s="1">
        <v>44051</v>
      </c>
      <c r="H343" s="1">
        <v>44093</v>
      </c>
      <c r="I343">
        <v>4</v>
      </c>
      <c r="J343">
        <v>3</v>
      </c>
      <c r="K343">
        <v>1999</v>
      </c>
      <c r="L343">
        <v>3</v>
      </c>
      <c r="M343">
        <v>3000</v>
      </c>
      <c r="N343">
        <v>12</v>
      </c>
      <c r="O343">
        <v>1</v>
      </c>
      <c r="P343">
        <v>1</v>
      </c>
      <c r="Q343">
        <v>1</v>
      </c>
      <c r="R343">
        <v>1</v>
      </c>
      <c r="S343">
        <v>0</v>
      </c>
      <c r="T343">
        <v>2</v>
      </c>
      <c r="U343">
        <v>175</v>
      </c>
      <c r="V343">
        <v>1999.6000000000001</v>
      </c>
      <c r="W343">
        <v>2</v>
      </c>
      <c r="X343">
        <v>4999</v>
      </c>
      <c r="Y343">
        <f t="shared" si="25"/>
        <v>5174.6000000000004</v>
      </c>
      <c r="Z343">
        <f t="shared" si="26"/>
        <v>-175.60000000000036</v>
      </c>
      <c r="AA343">
        <f t="shared" si="27"/>
        <v>42</v>
      </c>
      <c r="AB343" t="str">
        <f t="shared" si="28"/>
        <v>13224</v>
      </c>
      <c r="AC343" t="str">
        <f t="shared" si="29"/>
        <v>11312124</v>
      </c>
    </row>
    <row r="344" spans="1:29" x14ac:dyDescent="0.3">
      <c r="A344">
        <f>_xlfn.XLOOKUP(E344,Date_Dim!B:B,Date_Dim!A:A)</f>
        <v>304</v>
      </c>
      <c r="B344">
        <v>2022</v>
      </c>
      <c r="C344">
        <v>210</v>
      </c>
      <c r="D344">
        <v>2</v>
      </c>
      <c r="E344" s="1">
        <v>45526</v>
      </c>
      <c r="F344">
        <v>5</v>
      </c>
      <c r="G344" s="1">
        <v>45556</v>
      </c>
      <c r="H344" s="1">
        <v>45612</v>
      </c>
      <c r="I344">
        <v>5</v>
      </c>
      <c r="J344">
        <v>4</v>
      </c>
      <c r="K344">
        <v>2699</v>
      </c>
      <c r="L344">
        <v>5</v>
      </c>
      <c r="M344">
        <v>5000</v>
      </c>
      <c r="N344">
        <v>8</v>
      </c>
      <c r="O344">
        <v>1</v>
      </c>
      <c r="P344">
        <v>5</v>
      </c>
      <c r="Q344">
        <v>5</v>
      </c>
      <c r="R344">
        <v>5</v>
      </c>
      <c r="S344">
        <v>8000</v>
      </c>
      <c r="T344">
        <v>3</v>
      </c>
      <c r="U344">
        <v>125</v>
      </c>
      <c r="V344">
        <v>4709.7000000000007</v>
      </c>
      <c r="W344">
        <v>4</v>
      </c>
      <c r="X344">
        <v>15699</v>
      </c>
      <c r="Y344">
        <f t="shared" si="25"/>
        <v>9834.7000000000007</v>
      </c>
      <c r="Z344">
        <f t="shared" si="26"/>
        <v>5864.2999999999993</v>
      </c>
      <c r="AA344">
        <f t="shared" si="27"/>
        <v>56</v>
      </c>
      <c r="AB344" t="str">
        <f t="shared" si="28"/>
        <v>5435</v>
      </c>
      <c r="AC344" t="str">
        <f t="shared" si="29"/>
        <v>5141315</v>
      </c>
    </row>
    <row r="345" spans="1:29" x14ac:dyDescent="0.3">
      <c r="A345">
        <f>_xlfn.XLOOKUP(E345,Date_Dim!B:B,Date_Dim!A:A)</f>
        <v>305</v>
      </c>
      <c r="B345">
        <v>2023</v>
      </c>
      <c r="C345">
        <v>211</v>
      </c>
      <c r="D345">
        <v>2</v>
      </c>
      <c r="E345" s="1">
        <v>44475</v>
      </c>
      <c r="F345">
        <v>22</v>
      </c>
      <c r="G345" s="1">
        <v>44505</v>
      </c>
      <c r="H345" s="1">
        <v>44526</v>
      </c>
      <c r="I345">
        <v>2</v>
      </c>
      <c r="J345">
        <v>6</v>
      </c>
      <c r="K345">
        <v>1559</v>
      </c>
      <c r="L345">
        <v>8</v>
      </c>
      <c r="M345">
        <v>2600</v>
      </c>
      <c r="N345">
        <v>2</v>
      </c>
      <c r="O345">
        <v>1</v>
      </c>
      <c r="P345">
        <v>2</v>
      </c>
      <c r="Q345">
        <v>2</v>
      </c>
      <c r="R345">
        <v>2</v>
      </c>
      <c r="S345">
        <v>6000</v>
      </c>
      <c r="T345">
        <v>7</v>
      </c>
      <c r="U345">
        <v>25</v>
      </c>
      <c r="V345">
        <v>3047.7000000000003</v>
      </c>
      <c r="W345">
        <v>3</v>
      </c>
      <c r="X345">
        <v>10159</v>
      </c>
      <c r="Y345">
        <f t="shared" si="25"/>
        <v>5672.7000000000007</v>
      </c>
      <c r="Z345">
        <f t="shared" si="26"/>
        <v>4486.2999999999993</v>
      </c>
      <c r="AA345">
        <f t="shared" si="27"/>
        <v>21</v>
      </c>
      <c r="AB345" t="str">
        <f t="shared" si="28"/>
        <v>26722</v>
      </c>
      <c r="AC345" t="str">
        <f t="shared" si="29"/>
        <v>21617122</v>
      </c>
    </row>
    <row r="346" spans="1:29" x14ac:dyDescent="0.3">
      <c r="A346">
        <f>_xlfn.XLOOKUP(E346,Date_Dim!B:B,Date_Dim!A:A)</f>
        <v>306</v>
      </c>
      <c r="B346">
        <v>2023</v>
      </c>
      <c r="C346">
        <v>212</v>
      </c>
      <c r="D346">
        <v>2</v>
      </c>
      <c r="E346" s="1">
        <v>45265</v>
      </c>
      <c r="F346">
        <v>17</v>
      </c>
      <c r="G346" s="1">
        <v>45295</v>
      </c>
      <c r="H346" s="1">
        <v>45337</v>
      </c>
      <c r="I346">
        <v>4</v>
      </c>
      <c r="J346">
        <v>1</v>
      </c>
      <c r="K346">
        <v>1999</v>
      </c>
      <c r="L346">
        <v>12</v>
      </c>
      <c r="M346">
        <v>1500</v>
      </c>
      <c r="N346">
        <v>11</v>
      </c>
      <c r="O346">
        <v>1</v>
      </c>
      <c r="P346">
        <v>4</v>
      </c>
      <c r="Q346">
        <v>4</v>
      </c>
      <c r="R346">
        <v>4</v>
      </c>
      <c r="S346">
        <v>0</v>
      </c>
      <c r="T346">
        <v>1</v>
      </c>
      <c r="U346">
        <v>0</v>
      </c>
      <c r="V346">
        <v>1049.7</v>
      </c>
      <c r="W346">
        <v>8</v>
      </c>
      <c r="X346">
        <v>3499</v>
      </c>
      <c r="Y346">
        <f t="shared" si="25"/>
        <v>2549.6999999999998</v>
      </c>
      <c r="Z346">
        <f t="shared" si="26"/>
        <v>949.30000000000018</v>
      </c>
      <c r="AA346">
        <f t="shared" si="27"/>
        <v>42</v>
      </c>
      <c r="AB346" t="str">
        <f t="shared" si="28"/>
        <v>41117</v>
      </c>
      <c r="AC346" t="str">
        <f t="shared" si="29"/>
        <v>41111117</v>
      </c>
    </row>
    <row r="347" spans="1:29" x14ac:dyDescent="0.3">
      <c r="A347">
        <f>_xlfn.XLOOKUP(E347,Date_Dim!B:B,Date_Dim!A:A)</f>
        <v>307</v>
      </c>
      <c r="B347">
        <v>2023</v>
      </c>
      <c r="C347">
        <v>213</v>
      </c>
      <c r="D347">
        <v>2</v>
      </c>
      <c r="E347" s="1">
        <v>44550</v>
      </c>
      <c r="F347">
        <v>13</v>
      </c>
      <c r="G347" s="1">
        <v>44580</v>
      </c>
      <c r="H347" s="1">
        <v>44601</v>
      </c>
      <c r="I347">
        <v>2</v>
      </c>
      <c r="J347">
        <v>6</v>
      </c>
      <c r="K347">
        <v>1559</v>
      </c>
      <c r="L347">
        <v>11</v>
      </c>
      <c r="M347">
        <v>2500</v>
      </c>
      <c r="N347">
        <v>7</v>
      </c>
      <c r="O347">
        <v>1</v>
      </c>
      <c r="P347">
        <v>2</v>
      </c>
      <c r="Q347">
        <v>2</v>
      </c>
      <c r="R347">
        <v>2</v>
      </c>
      <c r="S347">
        <v>6000</v>
      </c>
      <c r="T347">
        <v>7</v>
      </c>
      <c r="U347">
        <v>25</v>
      </c>
      <c r="V347">
        <v>3017.7000000000003</v>
      </c>
      <c r="W347">
        <v>3</v>
      </c>
      <c r="X347">
        <v>10059</v>
      </c>
      <c r="Y347">
        <f t="shared" si="25"/>
        <v>5542.7000000000007</v>
      </c>
      <c r="Z347">
        <f t="shared" si="26"/>
        <v>4516.2999999999993</v>
      </c>
      <c r="AA347">
        <f t="shared" si="27"/>
        <v>21</v>
      </c>
      <c r="AB347" t="str">
        <f t="shared" si="28"/>
        <v>26713</v>
      </c>
      <c r="AC347" t="str">
        <f t="shared" si="29"/>
        <v>21617113</v>
      </c>
    </row>
    <row r="348" spans="1:29" x14ac:dyDescent="0.3">
      <c r="A348">
        <f>_xlfn.XLOOKUP(E348,Date_Dim!B:B,Date_Dim!A:A)</f>
        <v>308</v>
      </c>
      <c r="B348">
        <v>2023</v>
      </c>
      <c r="C348">
        <v>214</v>
      </c>
      <c r="D348">
        <v>2</v>
      </c>
      <c r="E348" s="1">
        <v>45228</v>
      </c>
      <c r="F348">
        <v>27</v>
      </c>
      <c r="G348" s="1">
        <v>45258</v>
      </c>
      <c r="H348" s="1">
        <v>45286</v>
      </c>
      <c r="I348">
        <v>3</v>
      </c>
      <c r="J348">
        <v>1</v>
      </c>
      <c r="K348">
        <v>1689</v>
      </c>
      <c r="L348">
        <v>1</v>
      </c>
      <c r="M348">
        <v>4000</v>
      </c>
      <c r="N348">
        <v>15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1</v>
      </c>
      <c r="U348">
        <v>0</v>
      </c>
      <c r="V348">
        <v>2275.6</v>
      </c>
      <c r="W348">
        <v>1</v>
      </c>
      <c r="X348">
        <v>5689</v>
      </c>
      <c r="Y348">
        <f t="shared" si="25"/>
        <v>6275.6</v>
      </c>
      <c r="Z348">
        <f t="shared" si="26"/>
        <v>-586.60000000000036</v>
      </c>
      <c r="AA348">
        <f t="shared" si="27"/>
        <v>28</v>
      </c>
      <c r="AB348" t="str">
        <f t="shared" si="28"/>
        <v>11127</v>
      </c>
      <c r="AC348" t="str">
        <f t="shared" si="29"/>
        <v>11111127</v>
      </c>
    </row>
    <row r="349" spans="1:29" x14ac:dyDescent="0.3">
      <c r="A349">
        <f>_xlfn.XLOOKUP(E349,Date_Dim!B:B,Date_Dim!A:A)</f>
        <v>309</v>
      </c>
      <c r="B349">
        <v>2020</v>
      </c>
      <c r="C349">
        <v>214</v>
      </c>
      <c r="D349">
        <v>2</v>
      </c>
      <c r="E349" s="1">
        <v>44342</v>
      </c>
      <c r="F349">
        <v>24</v>
      </c>
      <c r="G349" s="1">
        <v>44372</v>
      </c>
      <c r="H349" s="1">
        <v>44414</v>
      </c>
      <c r="I349">
        <v>4</v>
      </c>
      <c r="J349">
        <v>3</v>
      </c>
      <c r="K349">
        <v>1999</v>
      </c>
      <c r="L349">
        <v>3</v>
      </c>
      <c r="M349">
        <v>3000</v>
      </c>
      <c r="N349">
        <v>12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6</v>
      </c>
      <c r="U349">
        <v>120</v>
      </c>
      <c r="V349">
        <v>1999.6000000000001</v>
      </c>
      <c r="W349">
        <v>1</v>
      </c>
      <c r="X349">
        <v>4999</v>
      </c>
      <c r="Y349">
        <f t="shared" si="25"/>
        <v>5119.6000000000004</v>
      </c>
      <c r="Z349">
        <f t="shared" si="26"/>
        <v>-120.60000000000036</v>
      </c>
      <c r="AA349">
        <f t="shared" si="27"/>
        <v>42</v>
      </c>
      <c r="AB349" t="str">
        <f t="shared" si="28"/>
        <v>13624</v>
      </c>
      <c r="AC349" t="str">
        <f t="shared" si="29"/>
        <v>11316124</v>
      </c>
    </row>
    <row r="350" spans="1:29" x14ac:dyDescent="0.3">
      <c r="A350">
        <f>_xlfn.XLOOKUP(E350,Date_Dim!B:B,Date_Dim!A:A)</f>
        <v>310</v>
      </c>
      <c r="B350">
        <v>2021</v>
      </c>
      <c r="C350">
        <v>215</v>
      </c>
      <c r="D350">
        <v>2</v>
      </c>
      <c r="E350" s="1">
        <v>44092</v>
      </c>
      <c r="F350">
        <v>15</v>
      </c>
      <c r="G350" s="1">
        <v>44122</v>
      </c>
      <c r="H350" s="1">
        <v>44150</v>
      </c>
      <c r="I350">
        <v>3</v>
      </c>
      <c r="J350">
        <v>2</v>
      </c>
      <c r="K350">
        <v>1689</v>
      </c>
      <c r="L350">
        <v>10</v>
      </c>
      <c r="M350">
        <v>2500</v>
      </c>
      <c r="N350">
        <v>6</v>
      </c>
      <c r="O350">
        <v>1</v>
      </c>
      <c r="P350">
        <v>2</v>
      </c>
      <c r="Q350">
        <v>2</v>
      </c>
      <c r="R350">
        <v>2</v>
      </c>
      <c r="S350">
        <v>6000</v>
      </c>
      <c r="T350">
        <v>2</v>
      </c>
      <c r="U350">
        <v>175</v>
      </c>
      <c r="V350">
        <v>3056.7000000000003</v>
      </c>
      <c r="W350">
        <v>3</v>
      </c>
      <c r="X350">
        <v>10189</v>
      </c>
      <c r="Y350">
        <f t="shared" si="25"/>
        <v>5731.7000000000007</v>
      </c>
      <c r="Z350">
        <f t="shared" si="26"/>
        <v>4457.2999999999993</v>
      </c>
      <c r="AA350">
        <f t="shared" si="27"/>
        <v>28</v>
      </c>
      <c r="AB350" t="str">
        <f t="shared" si="28"/>
        <v>22215</v>
      </c>
      <c r="AC350" t="str">
        <f t="shared" si="29"/>
        <v>21212115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657E-995A-4845-B367-F05C920F9B47}">
  <dimension ref="A1:M27"/>
  <sheetViews>
    <sheetView tabSelected="1" topLeftCell="E1" workbookViewId="0">
      <selection activeCell="K18" sqref="K18"/>
    </sheetView>
  </sheetViews>
  <sheetFormatPr defaultRowHeight="14.4" x14ac:dyDescent="0.3"/>
  <cols>
    <col min="1" max="1" width="21.5546875" bestFit="1" customWidth="1"/>
    <col min="2" max="2" width="41.6640625" bestFit="1" customWidth="1"/>
    <col min="4" max="4" width="18.77734375" bestFit="1" customWidth="1"/>
    <col min="5" max="5" width="36.88671875" bestFit="1" customWidth="1"/>
    <col min="7" max="7" width="17.77734375" bestFit="1" customWidth="1"/>
    <col min="8" max="8" width="28.6640625" bestFit="1" customWidth="1"/>
    <col min="10" max="10" width="21.88671875" bestFit="1" customWidth="1"/>
    <col min="11" max="11" width="38.5546875" bestFit="1" customWidth="1"/>
    <col min="12" max="12" width="20.5546875" bestFit="1" customWidth="1"/>
    <col min="13" max="13" width="14.21875" bestFit="1" customWidth="1"/>
  </cols>
  <sheetData>
    <row r="1" spans="1:13" x14ac:dyDescent="0.3">
      <c r="A1" s="8" t="s">
        <v>361</v>
      </c>
      <c r="B1" s="8" t="s">
        <v>362</v>
      </c>
      <c r="D1" s="8" t="s">
        <v>361</v>
      </c>
      <c r="E1" s="8" t="s">
        <v>362</v>
      </c>
      <c r="G1" s="8" t="s">
        <v>361</v>
      </c>
      <c r="H1" s="8" t="s">
        <v>362</v>
      </c>
      <c r="J1" s="8" t="s">
        <v>361</v>
      </c>
      <c r="K1" s="8" t="s">
        <v>362</v>
      </c>
    </row>
    <row r="2" spans="1:13" x14ac:dyDescent="0.3">
      <c r="A2" s="9" t="s">
        <v>355</v>
      </c>
      <c r="B2" s="9" t="s">
        <v>363</v>
      </c>
      <c r="D2" s="9" t="s">
        <v>358</v>
      </c>
      <c r="E2" s="9" t="s">
        <v>390</v>
      </c>
      <c r="G2" s="9" t="s">
        <v>355</v>
      </c>
      <c r="H2" s="9" t="s">
        <v>411</v>
      </c>
      <c r="J2" s="9" t="s">
        <v>352</v>
      </c>
      <c r="K2" s="9" t="s">
        <v>425</v>
      </c>
    </row>
    <row r="3" spans="1:13" x14ac:dyDescent="0.3">
      <c r="A3" s="9" t="s">
        <v>345</v>
      </c>
      <c r="B3" s="9" t="s">
        <v>364</v>
      </c>
      <c r="D3" s="9" t="s">
        <v>350</v>
      </c>
      <c r="E3" s="9" t="s">
        <v>391</v>
      </c>
      <c r="G3" s="9" t="s">
        <v>3</v>
      </c>
      <c r="H3" s="9" t="s">
        <v>412</v>
      </c>
      <c r="J3" s="9" t="s">
        <v>307</v>
      </c>
      <c r="K3" s="9" t="s">
        <v>426</v>
      </c>
    </row>
    <row r="4" spans="1:13" x14ac:dyDescent="0.3">
      <c r="A4" s="9" t="s">
        <v>277</v>
      </c>
      <c r="B4" s="9" t="s">
        <v>365</v>
      </c>
      <c r="D4" s="9" t="s">
        <v>347</v>
      </c>
      <c r="E4" s="9" t="s">
        <v>392</v>
      </c>
    </row>
    <row r="5" spans="1:13" x14ac:dyDescent="0.3">
      <c r="A5" s="9" t="s">
        <v>356</v>
      </c>
      <c r="B5" s="9" t="s">
        <v>366</v>
      </c>
      <c r="D5" s="9" t="s">
        <v>353</v>
      </c>
      <c r="E5" s="9" t="s">
        <v>393</v>
      </c>
      <c r="G5" s="8" t="s">
        <v>361</v>
      </c>
      <c r="H5" s="8" t="s">
        <v>362</v>
      </c>
      <c r="J5" s="8" t="s">
        <v>427</v>
      </c>
      <c r="K5" s="8" t="s">
        <v>428</v>
      </c>
      <c r="L5" s="8" t="s">
        <v>429</v>
      </c>
      <c r="M5" s="8" t="s">
        <v>430</v>
      </c>
    </row>
    <row r="6" spans="1:13" x14ac:dyDescent="0.3">
      <c r="A6" s="9" t="s">
        <v>367</v>
      </c>
      <c r="B6" s="9" t="s">
        <v>368</v>
      </c>
      <c r="D6" s="9" t="s">
        <v>356</v>
      </c>
      <c r="E6" s="9" t="s">
        <v>394</v>
      </c>
      <c r="G6" s="9" t="s">
        <v>345</v>
      </c>
      <c r="H6" s="9" t="s">
        <v>413</v>
      </c>
      <c r="J6" s="9" t="s">
        <v>431</v>
      </c>
      <c r="K6" s="9" t="s">
        <v>432</v>
      </c>
      <c r="L6" s="9" t="s">
        <v>355</v>
      </c>
      <c r="M6" s="9" t="s">
        <v>433</v>
      </c>
    </row>
    <row r="7" spans="1:13" x14ac:dyDescent="0.3">
      <c r="A7" s="9" t="s">
        <v>346</v>
      </c>
      <c r="B7" s="9" t="s">
        <v>369</v>
      </c>
      <c r="D7" s="9" t="s">
        <v>47</v>
      </c>
      <c r="E7" s="9" t="s">
        <v>395</v>
      </c>
      <c r="G7" s="9" t="s">
        <v>275</v>
      </c>
      <c r="H7" s="9" t="s">
        <v>414</v>
      </c>
      <c r="J7" s="9" t="s">
        <v>434</v>
      </c>
      <c r="K7" s="9" t="s">
        <v>435</v>
      </c>
      <c r="L7" s="9" t="s">
        <v>356</v>
      </c>
      <c r="M7" s="9" t="s">
        <v>433</v>
      </c>
    </row>
    <row r="8" spans="1:13" x14ac:dyDescent="0.3">
      <c r="A8" s="9" t="s">
        <v>347</v>
      </c>
      <c r="B8" s="9" t="s">
        <v>370</v>
      </c>
      <c r="D8" s="9" t="s">
        <v>269</v>
      </c>
      <c r="E8" s="9" t="s">
        <v>396</v>
      </c>
      <c r="J8" s="9" t="s">
        <v>436</v>
      </c>
      <c r="K8" s="9" t="s">
        <v>437</v>
      </c>
      <c r="L8" s="9" t="s">
        <v>438</v>
      </c>
      <c r="M8" s="9" t="s">
        <v>433</v>
      </c>
    </row>
    <row r="9" spans="1:13" x14ac:dyDescent="0.3">
      <c r="A9" s="9" t="s">
        <v>281</v>
      </c>
      <c r="B9" s="9" t="s">
        <v>371</v>
      </c>
      <c r="D9" s="9" t="s">
        <v>308</v>
      </c>
      <c r="E9" s="9" t="s">
        <v>397</v>
      </c>
      <c r="G9" s="8" t="s">
        <v>361</v>
      </c>
      <c r="H9" s="8" t="s">
        <v>362</v>
      </c>
      <c r="J9" s="9" t="s">
        <v>439</v>
      </c>
      <c r="K9" s="9" t="s">
        <v>440</v>
      </c>
      <c r="L9" s="9" t="s">
        <v>348</v>
      </c>
      <c r="M9" s="9" t="s">
        <v>433</v>
      </c>
    </row>
    <row r="10" spans="1:13" x14ac:dyDescent="0.3">
      <c r="A10" s="9" t="s">
        <v>348</v>
      </c>
      <c r="B10" s="9" t="s">
        <v>372</v>
      </c>
      <c r="D10" s="9" t="s">
        <v>274</v>
      </c>
      <c r="E10" s="9" t="s">
        <v>398</v>
      </c>
      <c r="G10" s="9" t="s">
        <v>346</v>
      </c>
      <c r="H10" s="9" t="s">
        <v>415</v>
      </c>
      <c r="J10" s="9" t="s">
        <v>441</v>
      </c>
      <c r="K10" s="9" t="s">
        <v>442</v>
      </c>
      <c r="L10" s="9" t="s">
        <v>349</v>
      </c>
      <c r="M10" s="9" t="s">
        <v>433</v>
      </c>
    </row>
    <row r="11" spans="1:13" x14ac:dyDescent="0.3">
      <c r="A11" s="9" t="s">
        <v>46</v>
      </c>
      <c r="B11" s="9" t="s">
        <v>373</v>
      </c>
      <c r="G11" s="9" t="s">
        <v>273</v>
      </c>
      <c r="H11" s="9" t="s">
        <v>416</v>
      </c>
      <c r="J11" s="9" t="s">
        <v>443</v>
      </c>
      <c r="K11" s="9" t="s">
        <v>444</v>
      </c>
      <c r="L11" s="9" t="s">
        <v>345</v>
      </c>
      <c r="M11" s="9" t="s">
        <v>433</v>
      </c>
    </row>
    <row r="12" spans="1:13" x14ac:dyDescent="0.3">
      <c r="A12" s="9" t="s">
        <v>280</v>
      </c>
      <c r="B12" s="9" t="s">
        <v>374</v>
      </c>
      <c r="D12" s="6" t="s">
        <v>361</v>
      </c>
      <c r="E12" s="6" t="s">
        <v>362</v>
      </c>
      <c r="J12" s="9" t="s">
        <v>445</v>
      </c>
      <c r="K12" s="9" t="s">
        <v>446</v>
      </c>
      <c r="L12" s="9" t="s">
        <v>354</v>
      </c>
      <c r="M12" s="9" t="s">
        <v>433</v>
      </c>
    </row>
    <row r="13" spans="1:13" x14ac:dyDescent="0.3">
      <c r="A13" s="9" t="s">
        <v>349</v>
      </c>
      <c r="B13" s="9" t="s">
        <v>375</v>
      </c>
      <c r="D13" s="7" t="s">
        <v>360</v>
      </c>
      <c r="E13" s="7" t="s">
        <v>399</v>
      </c>
      <c r="G13" s="8" t="s">
        <v>361</v>
      </c>
      <c r="H13" s="8" t="s">
        <v>362</v>
      </c>
      <c r="J13" s="9" t="s">
        <v>447</v>
      </c>
      <c r="K13" s="9" t="s">
        <v>448</v>
      </c>
      <c r="L13" s="9" t="s">
        <v>352</v>
      </c>
      <c r="M13" s="9" t="s">
        <v>433</v>
      </c>
    </row>
    <row r="14" spans="1:13" x14ac:dyDescent="0.3">
      <c r="A14" s="9" t="s">
        <v>350</v>
      </c>
      <c r="B14" s="9" t="s">
        <v>376</v>
      </c>
      <c r="D14" s="7" t="s">
        <v>350</v>
      </c>
      <c r="E14" s="7" t="s">
        <v>400</v>
      </c>
      <c r="G14" s="9" t="s">
        <v>348</v>
      </c>
      <c r="H14" s="9" t="s">
        <v>417</v>
      </c>
    </row>
    <row r="15" spans="1:13" x14ac:dyDescent="0.3">
      <c r="A15" s="9" t="s">
        <v>351</v>
      </c>
      <c r="B15" s="9" t="s">
        <v>377</v>
      </c>
      <c r="D15" s="7" t="s">
        <v>347</v>
      </c>
      <c r="E15" s="7" t="s">
        <v>401</v>
      </c>
      <c r="G15" s="9" t="s">
        <v>279</v>
      </c>
      <c r="H15" s="9" t="s">
        <v>418</v>
      </c>
    </row>
    <row r="16" spans="1:13" x14ac:dyDescent="0.3">
      <c r="A16" s="9" t="s">
        <v>352</v>
      </c>
      <c r="B16" s="9" t="s">
        <v>378</v>
      </c>
      <c r="D16" s="7" t="s">
        <v>353</v>
      </c>
      <c r="E16" s="7" t="s">
        <v>402</v>
      </c>
    </row>
    <row r="17" spans="1:8" x14ac:dyDescent="0.3">
      <c r="A17" s="9" t="s">
        <v>334</v>
      </c>
      <c r="B17" s="9" t="s">
        <v>379</v>
      </c>
      <c r="D17" s="7" t="s">
        <v>356</v>
      </c>
      <c r="E17" s="7" t="s">
        <v>403</v>
      </c>
      <c r="G17" s="8" t="s">
        <v>361</v>
      </c>
      <c r="H17" s="8" t="s">
        <v>362</v>
      </c>
    </row>
    <row r="18" spans="1:8" x14ac:dyDescent="0.3">
      <c r="A18" s="9" t="s">
        <v>353</v>
      </c>
      <c r="B18" s="9" t="s">
        <v>380</v>
      </c>
      <c r="D18" s="7" t="s">
        <v>355</v>
      </c>
      <c r="E18" s="7" t="s">
        <v>404</v>
      </c>
      <c r="G18" s="9" t="s">
        <v>349</v>
      </c>
      <c r="H18" s="9" t="s">
        <v>419</v>
      </c>
    </row>
    <row r="19" spans="1:8" x14ac:dyDescent="0.3">
      <c r="A19" s="9" t="s">
        <v>336</v>
      </c>
      <c r="B19" s="9" t="s">
        <v>381</v>
      </c>
      <c r="G19" s="9" t="s">
        <v>0</v>
      </c>
      <c r="H19" s="9" t="s">
        <v>420</v>
      </c>
    </row>
    <row r="20" spans="1:8" x14ac:dyDescent="0.3">
      <c r="A20" s="9" t="s">
        <v>337</v>
      </c>
      <c r="B20" s="9" t="s">
        <v>382</v>
      </c>
      <c r="D20" s="6" t="s">
        <v>361</v>
      </c>
      <c r="E20" s="6" t="s">
        <v>362</v>
      </c>
    </row>
    <row r="21" spans="1:8" x14ac:dyDescent="0.3">
      <c r="A21" s="9" t="s">
        <v>354</v>
      </c>
      <c r="B21" s="9" t="s">
        <v>383</v>
      </c>
      <c r="D21" s="7" t="s">
        <v>340</v>
      </c>
      <c r="E21" s="7" t="s">
        <v>405</v>
      </c>
      <c r="G21" s="8" t="s">
        <v>361</v>
      </c>
      <c r="H21" s="8" t="s">
        <v>362</v>
      </c>
    </row>
    <row r="22" spans="1:8" x14ac:dyDescent="0.3">
      <c r="A22" s="9" t="s">
        <v>316</v>
      </c>
      <c r="B22" s="9" t="s">
        <v>384</v>
      </c>
      <c r="D22" s="7" t="s">
        <v>341</v>
      </c>
      <c r="E22" s="7" t="s">
        <v>406</v>
      </c>
      <c r="G22" s="9" t="s">
        <v>351</v>
      </c>
      <c r="H22" s="9" t="s">
        <v>421</v>
      </c>
    </row>
    <row r="23" spans="1:8" x14ac:dyDescent="0.3">
      <c r="A23" s="9" t="s">
        <v>338</v>
      </c>
      <c r="B23" s="9" t="s">
        <v>385</v>
      </c>
      <c r="D23" s="7" t="s">
        <v>282</v>
      </c>
      <c r="E23" s="7" t="s">
        <v>407</v>
      </c>
      <c r="G23" s="9" t="s">
        <v>306</v>
      </c>
      <c r="H23" s="9" t="s">
        <v>422</v>
      </c>
    </row>
    <row r="24" spans="1:8" x14ac:dyDescent="0.3">
      <c r="A24" s="9" t="s">
        <v>339</v>
      </c>
      <c r="B24" s="9" t="s">
        <v>386</v>
      </c>
      <c r="D24" s="7" t="s">
        <v>408</v>
      </c>
      <c r="E24" s="7" t="s">
        <v>409</v>
      </c>
    </row>
    <row r="25" spans="1:8" x14ac:dyDescent="0.3">
      <c r="A25" s="9" t="s">
        <v>357</v>
      </c>
      <c r="B25" s="9" t="s">
        <v>387</v>
      </c>
      <c r="D25" s="7" t="s">
        <v>344</v>
      </c>
      <c r="E25" s="7" t="s">
        <v>410</v>
      </c>
      <c r="G25" s="8" t="s">
        <v>361</v>
      </c>
      <c r="H25" s="8" t="s">
        <v>362</v>
      </c>
    </row>
    <row r="26" spans="1:8" x14ac:dyDescent="0.3">
      <c r="A26" s="9" t="s">
        <v>358</v>
      </c>
      <c r="B26" s="9" t="s">
        <v>388</v>
      </c>
      <c r="G26" s="9" t="s">
        <v>354</v>
      </c>
      <c r="H26" s="9" t="s">
        <v>423</v>
      </c>
    </row>
    <row r="27" spans="1:8" x14ac:dyDescent="0.3">
      <c r="A27" s="9" t="s">
        <v>359</v>
      </c>
      <c r="B27" s="9" t="s">
        <v>389</v>
      </c>
      <c r="G27" s="9" t="s">
        <v>270</v>
      </c>
      <c r="H27" s="9" t="s">
        <v>424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187D-2453-489F-91A0-DE8E44498471}">
  <dimension ref="A1:I53"/>
  <sheetViews>
    <sheetView workbookViewId="0">
      <selection activeCell="K2" sqref="K2:N7"/>
    </sheetView>
  </sheetViews>
  <sheetFormatPr defaultRowHeight="14.4" x14ac:dyDescent="0.3"/>
  <cols>
    <col min="1" max="1" width="13.21875" bestFit="1" customWidth="1"/>
    <col min="2" max="2" width="19.77734375" bestFit="1" customWidth="1"/>
    <col min="3" max="3" width="13.5546875" bestFit="1" customWidth="1"/>
    <col min="4" max="4" width="21.6640625" bestFit="1" customWidth="1"/>
    <col min="5" max="5" width="17.88671875" bestFit="1" customWidth="1"/>
    <col min="6" max="6" width="22.77734375" bestFit="1" customWidth="1"/>
    <col min="7" max="7" width="33.44140625" bestFit="1" customWidth="1"/>
    <col min="8" max="8" width="18.21875" bestFit="1" customWidth="1"/>
    <col min="9" max="9" width="32.6640625" bestFit="1" customWidth="1"/>
  </cols>
  <sheetData>
    <row r="1" spans="1:9" x14ac:dyDescent="0.3">
      <c r="A1" s="2" t="s">
        <v>358</v>
      </c>
      <c r="B1" s="2" t="s">
        <v>350</v>
      </c>
      <c r="C1" s="2" t="s">
        <v>347</v>
      </c>
      <c r="D1" s="2" t="s">
        <v>353</v>
      </c>
      <c r="E1" s="2" t="s">
        <v>356</v>
      </c>
      <c r="F1" s="2" t="s">
        <v>47</v>
      </c>
      <c r="G1" s="2" t="s">
        <v>269</v>
      </c>
      <c r="H1" s="2" t="s">
        <v>308</v>
      </c>
      <c r="I1" s="2" t="s">
        <v>274</v>
      </c>
    </row>
    <row r="2" spans="1:9" x14ac:dyDescent="0.3">
      <c r="A2" t="str">
        <f t="shared" ref="A2:A33" si="0">B2&amp;C2&amp;D2&amp;E2</f>
        <v>1111</v>
      </c>
      <c r="B2">
        <v>1</v>
      </c>
      <c r="C2">
        <v>1</v>
      </c>
      <c r="D2">
        <v>1</v>
      </c>
      <c r="E2">
        <v>1</v>
      </c>
      <c r="F2" t="s">
        <v>51</v>
      </c>
      <c r="G2" t="s">
        <v>4</v>
      </c>
      <c r="H2" t="s">
        <v>311</v>
      </c>
      <c r="I2" t="s">
        <v>5</v>
      </c>
    </row>
    <row r="3" spans="1:9" x14ac:dyDescent="0.3">
      <c r="A3" t="str">
        <f t="shared" si="0"/>
        <v>1222</v>
      </c>
      <c r="B3">
        <v>1</v>
      </c>
      <c r="C3">
        <v>2</v>
      </c>
      <c r="D3">
        <v>2</v>
      </c>
      <c r="E3">
        <v>2</v>
      </c>
      <c r="F3" t="s">
        <v>51</v>
      </c>
      <c r="G3" t="s">
        <v>25</v>
      </c>
      <c r="H3" t="s">
        <v>314</v>
      </c>
      <c r="I3" t="s">
        <v>29</v>
      </c>
    </row>
    <row r="4" spans="1:9" x14ac:dyDescent="0.3">
      <c r="A4" t="str">
        <f t="shared" si="0"/>
        <v>1323</v>
      </c>
      <c r="B4">
        <v>1</v>
      </c>
      <c r="C4">
        <v>3</v>
      </c>
      <c r="D4">
        <v>2</v>
      </c>
      <c r="E4">
        <v>3</v>
      </c>
      <c r="F4" t="s">
        <v>51</v>
      </c>
      <c r="G4" t="s">
        <v>11</v>
      </c>
      <c r="H4" t="s">
        <v>314</v>
      </c>
      <c r="I4" t="s">
        <v>12</v>
      </c>
    </row>
    <row r="5" spans="1:9" x14ac:dyDescent="0.3">
      <c r="A5" t="str">
        <f t="shared" si="0"/>
        <v>2224</v>
      </c>
      <c r="B5">
        <v>2</v>
      </c>
      <c r="C5">
        <v>2</v>
      </c>
      <c r="D5">
        <v>2</v>
      </c>
      <c r="E5">
        <v>4</v>
      </c>
      <c r="F5" t="s">
        <v>48</v>
      </c>
      <c r="G5" t="s">
        <v>25</v>
      </c>
      <c r="H5" t="s">
        <v>314</v>
      </c>
      <c r="I5" t="s">
        <v>31</v>
      </c>
    </row>
    <row r="6" spans="1:9" x14ac:dyDescent="0.3">
      <c r="A6" t="str">
        <f t="shared" si="0"/>
        <v>3435</v>
      </c>
      <c r="B6">
        <v>3</v>
      </c>
      <c r="C6">
        <v>4</v>
      </c>
      <c r="D6">
        <v>3</v>
      </c>
      <c r="E6">
        <v>5</v>
      </c>
      <c r="F6" t="s">
        <v>57</v>
      </c>
      <c r="G6" t="s">
        <v>18</v>
      </c>
      <c r="H6" t="s">
        <v>310</v>
      </c>
      <c r="I6" t="s">
        <v>21</v>
      </c>
    </row>
    <row r="7" spans="1:9" x14ac:dyDescent="0.3">
      <c r="A7" t="str">
        <f t="shared" si="0"/>
        <v>4446</v>
      </c>
      <c r="B7">
        <v>4</v>
      </c>
      <c r="C7">
        <v>4</v>
      </c>
      <c r="D7">
        <v>4</v>
      </c>
      <c r="E7">
        <v>6</v>
      </c>
      <c r="F7" t="s">
        <v>54</v>
      </c>
      <c r="G7" t="s">
        <v>18</v>
      </c>
      <c r="H7" t="s">
        <v>70</v>
      </c>
      <c r="I7" t="s">
        <v>22</v>
      </c>
    </row>
    <row r="8" spans="1:9" x14ac:dyDescent="0.3">
      <c r="A8" t="str">
        <f t="shared" si="0"/>
        <v>1327</v>
      </c>
      <c r="B8">
        <v>1</v>
      </c>
      <c r="C8">
        <v>3</v>
      </c>
      <c r="D8">
        <v>2</v>
      </c>
      <c r="E8">
        <v>7</v>
      </c>
      <c r="F8" t="s">
        <v>51</v>
      </c>
      <c r="G8" t="s">
        <v>11</v>
      </c>
      <c r="H8" t="s">
        <v>314</v>
      </c>
      <c r="I8" t="s">
        <v>17</v>
      </c>
    </row>
    <row r="9" spans="1:9" x14ac:dyDescent="0.3">
      <c r="A9" t="str">
        <f t="shared" si="0"/>
        <v>4458</v>
      </c>
      <c r="B9">
        <v>4</v>
      </c>
      <c r="C9">
        <v>4</v>
      </c>
      <c r="D9">
        <v>5</v>
      </c>
      <c r="E9">
        <v>8</v>
      </c>
      <c r="F9" t="s">
        <v>54</v>
      </c>
      <c r="G9" t="s">
        <v>18</v>
      </c>
      <c r="H9" t="s">
        <v>309</v>
      </c>
      <c r="I9" t="s">
        <v>19</v>
      </c>
    </row>
    <row r="10" spans="1:9" x14ac:dyDescent="0.3">
      <c r="A10" t="str">
        <f t="shared" si="0"/>
        <v>1369</v>
      </c>
      <c r="B10">
        <v>1</v>
      </c>
      <c r="C10">
        <v>3</v>
      </c>
      <c r="D10">
        <v>6</v>
      </c>
      <c r="E10">
        <v>9</v>
      </c>
      <c r="F10" t="s">
        <v>51</v>
      </c>
      <c r="G10" t="s">
        <v>11</v>
      </c>
      <c r="H10" t="s">
        <v>312</v>
      </c>
      <c r="I10" t="s">
        <v>14</v>
      </c>
    </row>
    <row r="11" spans="1:9" x14ac:dyDescent="0.3">
      <c r="A11" t="str">
        <f t="shared" si="0"/>
        <v>3446</v>
      </c>
      <c r="B11">
        <v>3</v>
      </c>
      <c r="C11">
        <v>4</v>
      </c>
      <c r="D11">
        <v>4</v>
      </c>
      <c r="E11">
        <v>6</v>
      </c>
      <c r="F11" t="s">
        <v>57</v>
      </c>
      <c r="G11" t="s">
        <v>18</v>
      </c>
      <c r="H11" t="s">
        <v>70</v>
      </c>
      <c r="I11" t="s">
        <v>22</v>
      </c>
    </row>
    <row r="12" spans="1:9" x14ac:dyDescent="0.3">
      <c r="A12" t="str">
        <f t="shared" si="0"/>
        <v>45510</v>
      </c>
      <c r="B12">
        <v>4</v>
      </c>
      <c r="C12">
        <v>5</v>
      </c>
      <c r="D12">
        <v>5</v>
      </c>
      <c r="E12">
        <v>10</v>
      </c>
      <c r="F12" t="s">
        <v>54</v>
      </c>
      <c r="G12" t="s">
        <v>32</v>
      </c>
      <c r="H12" t="s">
        <v>309</v>
      </c>
      <c r="I12" t="s">
        <v>33</v>
      </c>
    </row>
    <row r="13" spans="1:9" x14ac:dyDescent="0.3">
      <c r="A13" t="str">
        <f t="shared" si="0"/>
        <v>22211</v>
      </c>
      <c r="B13">
        <v>2</v>
      </c>
      <c r="C13">
        <v>2</v>
      </c>
      <c r="D13">
        <v>2</v>
      </c>
      <c r="E13">
        <v>11</v>
      </c>
      <c r="F13" t="s">
        <v>48</v>
      </c>
      <c r="G13" t="s">
        <v>25</v>
      </c>
      <c r="H13" t="s">
        <v>314</v>
      </c>
      <c r="I13" t="s">
        <v>26</v>
      </c>
    </row>
    <row r="14" spans="1:9" x14ac:dyDescent="0.3">
      <c r="A14" t="str">
        <f t="shared" si="0"/>
        <v>45512</v>
      </c>
      <c r="B14">
        <v>4</v>
      </c>
      <c r="C14">
        <v>5</v>
      </c>
      <c r="D14">
        <v>5</v>
      </c>
      <c r="E14">
        <v>12</v>
      </c>
      <c r="F14" t="s">
        <v>54</v>
      </c>
      <c r="G14" t="s">
        <v>32</v>
      </c>
      <c r="H14" t="s">
        <v>309</v>
      </c>
      <c r="I14" t="s">
        <v>35</v>
      </c>
    </row>
    <row r="15" spans="1:9" x14ac:dyDescent="0.3">
      <c r="A15" t="str">
        <f t="shared" si="0"/>
        <v>26713</v>
      </c>
      <c r="B15">
        <v>2</v>
      </c>
      <c r="C15">
        <v>6</v>
      </c>
      <c r="D15">
        <v>7</v>
      </c>
      <c r="E15">
        <v>13</v>
      </c>
      <c r="F15" t="s">
        <v>48</v>
      </c>
      <c r="G15" t="s">
        <v>39</v>
      </c>
      <c r="H15" t="s">
        <v>64</v>
      </c>
      <c r="I15" t="s">
        <v>40</v>
      </c>
    </row>
    <row r="16" spans="1:9" x14ac:dyDescent="0.3">
      <c r="A16" t="str">
        <f t="shared" si="0"/>
        <v>11114</v>
      </c>
      <c r="B16">
        <v>1</v>
      </c>
      <c r="C16">
        <v>1</v>
      </c>
      <c r="D16">
        <v>1</v>
      </c>
      <c r="E16">
        <v>14</v>
      </c>
      <c r="F16" t="s">
        <v>51</v>
      </c>
      <c r="G16" t="s">
        <v>4</v>
      </c>
      <c r="H16" t="s">
        <v>311</v>
      </c>
      <c r="I16" t="s">
        <v>9</v>
      </c>
    </row>
    <row r="17" spans="1:9" x14ac:dyDescent="0.3">
      <c r="A17" t="str">
        <f t="shared" si="0"/>
        <v>3445</v>
      </c>
      <c r="B17">
        <v>3</v>
      </c>
      <c r="C17">
        <v>4</v>
      </c>
      <c r="D17">
        <v>4</v>
      </c>
      <c r="E17">
        <v>5</v>
      </c>
      <c r="F17" t="s">
        <v>57</v>
      </c>
      <c r="G17" t="s">
        <v>18</v>
      </c>
      <c r="H17" t="s">
        <v>70</v>
      </c>
      <c r="I17" t="s">
        <v>21</v>
      </c>
    </row>
    <row r="18" spans="1:9" x14ac:dyDescent="0.3">
      <c r="A18" t="str">
        <f t="shared" si="0"/>
        <v>22215</v>
      </c>
      <c r="B18">
        <v>2</v>
      </c>
      <c r="C18">
        <v>2</v>
      </c>
      <c r="D18">
        <v>2</v>
      </c>
      <c r="E18">
        <v>15</v>
      </c>
      <c r="F18" t="s">
        <v>48</v>
      </c>
      <c r="G18" t="s">
        <v>25</v>
      </c>
      <c r="H18" t="s">
        <v>314</v>
      </c>
      <c r="I18" t="s">
        <v>27</v>
      </c>
    </row>
    <row r="19" spans="1:9" x14ac:dyDescent="0.3">
      <c r="A19" t="str">
        <f t="shared" si="0"/>
        <v>5435</v>
      </c>
      <c r="B19">
        <v>5</v>
      </c>
      <c r="C19">
        <v>4</v>
      </c>
      <c r="D19">
        <v>3</v>
      </c>
      <c r="E19">
        <v>5</v>
      </c>
      <c r="F19" t="s">
        <v>60</v>
      </c>
      <c r="G19" t="s">
        <v>18</v>
      </c>
      <c r="H19" t="s">
        <v>310</v>
      </c>
      <c r="I19" t="s">
        <v>21</v>
      </c>
    </row>
    <row r="20" spans="1:9" x14ac:dyDescent="0.3">
      <c r="A20" t="str">
        <f t="shared" si="0"/>
        <v>26716</v>
      </c>
      <c r="B20">
        <v>2</v>
      </c>
      <c r="C20">
        <v>6</v>
      </c>
      <c r="D20">
        <v>7</v>
      </c>
      <c r="E20">
        <v>16</v>
      </c>
      <c r="F20" t="s">
        <v>48</v>
      </c>
      <c r="G20" t="s">
        <v>39</v>
      </c>
      <c r="H20" t="s">
        <v>64</v>
      </c>
      <c r="I20" t="s">
        <v>43</v>
      </c>
    </row>
    <row r="21" spans="1:9" x14ac:dyDescent="0.3">
      <c r="A21" t="str">
        <f t="shared" si="0"/>
        <v>41117</v>
      </c>
      <c r="B21">
        <v>4</v>
      </c>
      <c r="C21">
        <v>1</v>
      </c>
      <c r="D21">
        <v>1</v>
      </c>
      <c r="E21">
        <v>17</v>
      </c>
      <c r="F21" t="s">
        <v>54</v>
      </c>
      <c r="G21" t="s">
        <v>4</v>
      </c>
      <c r="H21" t="s">
        <v>311</v>
      </c>
      <c r="I21" t="s">
        <v>7</v>
      </c>
    </row>
    <row r="22" spans="1:9" x14ac:dyDescent="0.3">
      <c r="A22" t="str">
        <f t="shared" si="0"/>
        <v>12218</v>
      </c>
      <c r="B22">
        <v>1</v>
      </c>
      <c r="C22">
        <v>2</v>
      </c>
      <c r="D22">
        <v>2</v>
      </c>
      <c r="E22">
        <v>18</v>
      </c>
      <c r="F22" t="s">
        <v>51</v>
      </c>
      <c r="G22" t="s">
        <v>25</v>
      </c>
      <c r="H22" t="s">
        <v>314</v>
      </c>
      <c r="I22" t="s">
        <v>28</v>
      </c>
    </row>
    <row r="23" spans="1:9" x14ac:dyDescent="0.3">
      <c r="A23" t="str">
        <f t="shared" si="0"/>
        <v>26219</v>
      </c>
      <c r="B23">
        <v>2</v>
      </c>
      <c r="C23">
        <v>6</v>
      </c>
      <c r="D23">
        <v>2</v>
      </c>
      <c r="E23">
        <v>19</v>
      </c>
      <c r="F23" t="s">
        <v>48</v>
      </c>
      <c r="G23" t="s">
        <v>39</v>
      </c>
      <c r="H23" t="s">
        <v>314</v>
      </c>
      <c r="I23" t="s">
        <v>41</v>
      </c>
    </row>
    <row r="24" spans="1:9" x14ac:dyDescent="0.3">
      <c r="A24" t="str">
        <f t="shared" si="0"/>
        <v>45520</v>
      </c>
      <c r="B24">
        <v>4</v>
      </c>
      <c r="C24">
        <v>5</v>
      </c>
      <c r="D24">
        <v>5</v>
      </c>
      <c r="E24">
        <v>20</v>
      </c>
      <c r="F24" t="s">
        <v>54</v>
      </c>
      <c r="G24" t="s">
        <v>32</v>
      </c>
      <c r="H24" t="s">
        <v>309</v>
      </c>
      <c r="I24" t="s">
        <v>38</v>
      </c>
    </row>
    <row r="25" spans="1:9" x14ac:dyDescent="0.3">
      <c r="A25" t="str">
        <f t="shared" si="0"/>
        <v>41821</v>
      </c>
      <c r="B25">
        <v>4</v>
      </c>
      <c r="C25">
        <v>1</v>
      </c>
      <c r="D25">
        <v>8</v>
      </c>
      <c r="E25">
        <v>21</v>
      </c>
      <c r="F25" t="s">
        <v>54</v>
      </c>
      <c r="G25" t="s">
        <v>4</v>
      </c>
      <c r="H25" t="s">
        <v>313</v>
      </c>
      <c r="I25" t="s">
        <v>10</v>
      </c>
    </row>
    <row r="26" spans="1:9" x14ac:dyDescent="0.3">
      <c r="A26" t="str">
        <f t="shared" si="0"/>
        <v>26722</v>
      </c>
      <c r="B26">
        <v>2</v>
      </c>
      <c r="C26">
        <v>6</v>
      </c>
      <c r="D26">
        <v>7</v>
      </c>
      <c r="E26">
        <v>22</v>
      </c>
      <c r="F26" t="s">
        <v>48</v>
      </c>
      <c r="G26" t="s">
        <v>39</v>
      </c>
      <c r="H26" t="s">
        <v>64</v>
      </c>
      <c r="I26" t="s">
        <v>45</v>
      </c>
    </row>
    <row r="27" spans="1:9" x14ac:dyDescent="0.3">
      <c r="A27" t="str">
        <f t="shared" si="0"/>
        <v>12223</v>
      </c>
      <c r="B27">
        <v>1</v>
      </c>
      <c r="C27">
        <v>2</v>
      </c>
      <c r="D27">
        <v>2</v>
      </c>
      <c r="E27">
        <v>23</v>
      </c>
      <c r="F27" t="s">
        <v>51</v>
      </c>
      <c r="G27" t="s">
        <v>25</v>
      </c>
      <c r="H27" t="s">
        <v>314</v>
      </c>
      <c r="I27" t="s">
        <v>30</v>
      </c>
    </row>
    <row r="28" spans="1:9" x14ac:dyDescent="0.3">
      <c r="A28" t="str">
        <f t="shared" si="0"/>
        <v>41121</v>
      </c>
      <c r="B28">
        <v>4</v>
      </c>
      <c r="C28">
        <v>1</v>
      </c>
      <c r="D28">
        <v>1</v>
      </c>
      <c r="E28">
        <v>21</v>
      </c>
      <c r="F28" t="s">
        <v>54</v>
      </c>
      <c r="G28" t="s">
        <v>4</v>
      </c>
      <c r="H28" t="s">
        <v>311</v>
      </c>
      <c r="I28" t="s">
        <v>10</v>
      </c>
    </row>
    <row r="29" spans="1:9" x14ac:dyDescent="0.3">
      <c r="A29" t="str">
        <f t="shared" si="0"/>
        <v>13224</v>
      </c>
      <c r="B29">
        <v>1</v>
      </c>
      <c r="C29">
        <v>3</v>
      </c>
      <c r="D29">
        <v>2</v>
      </c>
      <c r="E29">
        <v>24</v>
      </c>
      <c r="F29" t="s">
        <v>51</v>
      </c>
      <c r="G29" t="s">
        <v>11</v>
      </c>
      <c r="H29" t="s">
        <v>314</v>
      </c>
      <c r="I29" t="s">
        <v>13</v>
      </c>
    </row>
    <row r="30" spans="1:9" x14ac:dyDescent="0.3">
      <c r="A30" t="str">
        <f t="shared" si="0"/>
        <v>26725</v>
      </c>
      <c r="B30">
        <v>2</v>
      </c>
      <c r="C30">
        <v>6</v>
      </c>
      <c r="D30">
        <v>7</v>
      </c>
      <c r="E30">
        <v>25</v>
      </c>
      <c r="F30" t="s">
        <v>48</v>
      </c>
      <c r="G30" t="s">
        <v>39</v>
      </c>
      <c r="H30" t="s">
        <v>64</v>
      </c>
      <c r="I30" t="s">
        <v>42</v>
      </c>
    </row>
    <row r="31" spans="1:9" x14ac:dyDescent="0.3">
      <c r="A31" t="str">
        <f t="shared" si="0"/>
        <v>26726</v>
      </c>
      <c r="B31">
        <v>2</v>
      </c>
      <c r="C31">
        <v>6</v>
      </c>
      <c r="D31">
        <v>7</v>
      </c>
      <c r="E31">
        <v>26</v>
      </c>
      <c r="F31" t="s">
        <v>48</v>
      </c>
      <c r="G31" t="s">
        <v>39</v>
      </c>
      <c r="H31" t="s">
        <v>64</v>
      </c>
      <c r="I31" t="s">
        <v>44</v>
      </c>
    </row>
    <row r="32" spans="1:9" x14ac:dyDescent="0.3">
      <c r="A32" t="str">
        <f t="shared" si="0"/>
        <v>11127</v>
      </c>
      <c r="B32">
        <v>1</v>
      </c>
      <c r="C32">
        <v>1</v>
      </c>
      <c r="D32">
        <v>1</v>
      </c>
      <c r="E32">
        <v>27</v>
      </c>
      <c r="F32" t="s">
        <v>51</v>
      </c>
      <c r="G32" t="s">
        <v>4</v>
      </c>
      <c r="H32" t="s">
        <v>311</v>
      </c>
      <c r="I32" t="s">
        <v>8</v>
      </c>
    </row>
    <row r="33" spans="1:9" x14ac:dyDescent="0.3">
      <c r="A33" t="str">
        <f t="shared" si="0"/>
        <v>22218</v>
      </c>
      <c r="B33">
        <v>2</v>
      </c>
      <c r="C33">
        <v>2</v>
      </c>
      <c r="D33">
        <v>2</v>
      </c>
      <c r="E33">
        <v>18</v>
      </c>
      <c r="F33" t="s">
        <v>48</v>
      </c>
      <c r="G33" t="s">
        <v>25</v>
      </c>
      <c r="H33" t="s">
        <v>314</v>
      </c>
      <c r="I33" t="s">
        <v>28</v>
      </c>
    </row>
    <row r="34" spans="1:9" x14ac:dyDescent="0.3">
      <c r="A34" t="str">
        <f t="shared" ref="A34:A53" si="1">B34&amp;C34&amp;D34&amp;E34</f>
        <v>13228</v>
      </c>
      <c r="B34">
        <v>1</v>
      </c>
      <c r="C34">
        <v>3</v>
      </c>
      <c r="D34">
        <v>2</v>
      </c>
      <c r="E34">
        <v>28</v>
      </c>
      <c r="F34" t="s">
        <v>51</v>
      </c>
      <c r="G34" t="s">
        <v>11</v>
      </c>
      <c r="H34" t="s">
        <v>314</v>
      </c>
      <c r="I34" t="s">
        <v>16</v>
      </c>
    </row>
    <row r="35" spans="1:9" x14ac:dyDescent="0.3">
      <c r="A35" t="str">
        <f t="shared" si="1"/>
        <v>41127</v>
      </c>
      <c r="B35">
        <v>4</v>
      </c>
      <c r="C35">
        <v>1</v>
      </c>
      <c r="D35">
        <v>1</v>
      </c>
      <c r="E35">
        <v>27</v>
      </c>
      <c r="F35" t="s">
        <v>54</v>
      </c>
      <c r="G35" t="s">
        <v>4</v>
      </c>
      <c r="H35" t="s">
        <v>311</v>
      </c>
      <c r="I35" t="s">
        <v>8</v>
      </c>
    </row>
    <row r="36" spans="1:9" x14ac:dyDescent="0.3">
      <c r="A36" t="str">
        <f t="shared" si="1"/>
        <v>11117</v>
      </c>
      <c r="B36">
        <v>1</v>
      </c>
      <c r="C36">
        <v>1</v>
      </c>
      <c r="D36">
        <v>1</v>
      </c>
      <c r="E36">
        <v>17</v>
      </c>
      <c r="F36" t="s">
        <v>51</v>
      </c>
      <c r="G36" t="s">
        <v>4</v>
      </c>
      <c r="H36" t="s">
        <v>311</v>
      </c>
      <c r="I36" t="s">
        <v>7</v>
      </c>
    </row>
    <row r="37" spans="1:9" x14ac:dyDescent="0.3">
      <c r="A37" t="str">
        <f t="shared" si="1"/>
        <v>44529</v>
      </c>
      <c r="B37">
        <v>4</v>
      </c>
      <c r="C37">
        <v>4</v>
      </c>
      <c r="D37">
        <v>5</v>
      </c>
      <c r="E37">
        <v>29</v>
      </c>
      <c r="F37" t="s">
        <v>54</v>
      </c>
      <c r="G37" t="s">
        <v>18</v>
      </c>
      <c r="H37" t="s">
        <v>309</v>
      </c>
      <c r="I37" t="s">
        <v>23</v>
      </c>
    </row>
    <row r="38" spans="1:9" x14ac:dyDescent="0.3">
      <c r="A38" t="str">
        <f t="shared" si="1"/>
        <v>13230</v>
      </c>
      <c r="B38">
        <v>1</v>
      </c>
      <c r="C38">
        <v>3</v>
      </c>
      <c r="D38">
        <v>2</v>
      </c>
      <c r="E38">
        <v>30</v>
      </c>
      <c r="F38" t="s">
        <v>51</v>
      </c>
      <c r="G38" t="s">
        <v>11</v>
      </c>
      <c r="H38" t="s">
        <v>314</v>
      </c>
      <c r="I38" t="s">
        <v>15</v>
      </c>
    </row>
    <row r="39" spans="1:9" x14ac:dyDescent="0.3">
      <c r="A39" t="str">
        <f t="shared" si="1"/>
        <v>11131</v>
      </c>
      <c r="B39">
        <v>1</v>
      </c>
      <c r="C39">
        <v>1</v>
      </c>
      <c r="D39">
        <v>1</v>
      </c>
      <c r="E39">
        <v>31</v>
      </c>
      <c r="F39" t="s">
        <v>51</v>
      </c>
      <c r="G39" t="s">
        <v>4</v>
      </c>
      <c r="H39" t="s">
        <v>311</v>
      </c>
      <c r="I39" t="s">
        <v>6</v>
      </c>
    </row>
    <row r="40" spans="1:9" x14ac:dyDescent="0.3">
      <c r="A40" t="str">
        <f t="shared" si="1"/>
        <v>1319</v>
      </c>
      <c r="B40">
        <v>1</v>
      </c>
      <c r="C40">
        <v>3</v>
      </c>
      <c r="D40">
        <v>1</v>
      </c>
      <c r="E40">
        <v>9</v>
      </c>
      <c r="F40" t="s">
        <v>51</v>
      </c>
      <c r="G40" t="s">
        <v>11</v>
      </c>
      <c r="H40" t="s">
        <v>311</v>
      </c>
      <c r="I40" t="s">
        <v>14</v>
      </c>
    </row>
    <row r="41" spans="1:9" x14ac:dyDescent="0.3">
      <c r="A41" t="str">
        <f t="shared" si="1"/>
        <v>44532</v>
      </c>
      <c r="B41">
        <v>4</v>
      </c>
      <c r="C41">
        <v>4</v>
      </c>
      <c r="D41">
        <v>5</v>
      </c>
      <c r="E41">
        <v>32</v>
      </c>
      <c r="F41" t="s">
        <v>54</v>
      </c>
      <c r="G41" t="s">
        <v>18</v>
      </c>
      <c r="H41" t="s">
        <v>309</v>
      </c>
      <c r="I41" t="s">
        <v>20</v>
      </c>
    </row>
    <row r="42" spans="1:9" x14ac:dyDescent="0.3">
      <c r="A42" t="str">
        <f t="shared" si="1"/>
        <v>4456</v>
      </c>
      <c r="B42">
        <v>4</v>
      </c>
      <c r="C42">
        <v>4</v>
      </c>
      <c r="D42">
        <v>5</v>
      </c>
      <c r="E42">
        <v>6</v>
      </c>
      <c r="F42" t="s">
        <v>54</v>
      </c>
      <c r="G42" t="s">
        <v>18</v>
      </c>
      <c r="H42" t="s">
        <v>309</v>
      </c>
      <c r="I42" t="s">
        <v>22</v>
      </c>
    </row>
    <row r="43" spans="1:9" x14ac:dyDescent="0.3">
      <c r="A43" t="str">
        <f t="shared" si="1"/>
        <v>13624</v>
      </c>
      <c r="B43">
        <v>1</v>
      </c>
      <c r="C43">
        <v>3</v>
      </c>
      <c r="D43">
        <v>6</v>
      </c>
      <c r="E43">
        <v>24</v>
      </c>
      <c r="F43" t="s">
        <v>51</v>
      </c>
      <c r="G43" t="s">
        <v>11</v>
      </c>
      <c r="H43" t="s">
        <v>312</v>
      </c>
      <c r="I43" t="s">
        <v>13</v>
      </c>
    </row>
    <row r="44" spans="1:9" x14ac:dyDescent="0.3">
      <c r="A44" t="str">
        <f t="shared" si="1"/>
        <v>45833</v>
      </c>
      <c r="B44">
        <v>4</v>
      </c>
      <c r="C44">
        <v>5</v>
      </c>
      <c r="D44">
        <v>8</v>
      </c>
      <c r="E44">
        <v>33</v>
      </c>
      <c r="F44" t="s">
        <v>54</v>
      </c>
      <c r="G44" t="s">
        <v>32</v>
      </c>
      <c r="H44" t="s">
        <v>313</v>
      </c>
      <c r="I44" t="s">
        <v>34</v>
      </c>
    </row>
    <row r="45" spans="1:9" x14ac:dyDescent="0.3">
      <c r="A45" t="str">
        <f t="shared" si="1"/>
        <v>26719</v>
      </c>
      <c r="B45">
        <v>2</v>
      </c>
      <c r="C45">
        <v>6</v>
      </c>
      <c r="D45">
        <v>7</v>
      </c>
      <c r="E45">
        <v>19</v>
      </c>
      <c r="F45" t="s">
        <v>48</v>
      </c>
      <c r="G45" t="s">
        <v>39</v>
      </c>
      <c r="H45" t="s">
        <v>64</v>
      </c>
      <c r="I45" t="s">
        <v>41</v>
      </c>
    </row>
    <row r="46" spans="1:9" x14ac:dyDescent="0.3">
      <c r="A46" t="str">
        <f t="shared" si="1"/>
        <v>45534</v>
      </c>
      <c r="B46">
        <v>4</v>
      </c>
      <c r="C46">
        <v>5</v>
      </c>
      <c r="D46">
        <v>5</v>
      </c>
      <c r="E46">
        <v>34</v>
      </c>
      <c r="F46" t="s">
        <v>54</v>
      </c>
      <c r="G46" t="s">
        <v>32</v>
      </c>
      <c r="H46" t="s">
        <v>309</v>
      </c>
      <c r="I46" t="s">
        <v>36</v>
      </c>
    </row>
    <row r="47" spans="1:9" x14ac:dyDescent="0.3">
      <c r="A47" t="str">
        <f t="shared" si="1"/>
        <v>44535</v>
      </c>
      <c r="B47">
        <v>4</v>
      </c>
      <c r="C47">
        <v>4</v>
      </c>
      <c r="D47">
        <v>5</v>
      </c>
      <c r="E47">
        <v>35</v>
      </c>
      <c r="F47" t="s">
        <v>54</v>
      </c>
      <c r="G47" t="s">
        <v>18</v>
      </c>
      <c r="H47" t="s">
        <v>309</v>
      </c>
      <c r="I47" t="s">
        <v>24</v>
      </c>
    </row>
    <row r="48" spans="1:9" x14ac:dyDescent="0.3">
      <c r="A48" t="str">
        <f t="shared" si="1"/>
        <v>45536</v>
      </c>
      <c r="B48">
        <v>4</v>
      </c>
      <c r="C48">
        <v>5</v>
      </c>
      <c r="D48">
        <v>5</v>
      </c>
      <c r="E48">
        <v>36</v>
      </c>
      <c r="F48" t="s">
        <v>54</v>
      </c>
      <c r="G48" t="s">
        <v>32</v>
      </c>
      <c r="H48" t="s">
        <v>309</v>
      </c>
      <c r="I48" t="s">
        <v>37</v>
      </c>
    </row>
    <row r="49" spans="1:9" x14ac:dyDescent="0.3">
      <c r="A49" t="str">
        <f t="shared" si="1"/>
        <v>45533</v>
      </c>
      <c r="B49">
        <v>4</v>
      </c>
      <c r="C49">
        <v>5</v>
      </c>
      <c r="D49">
        <v>5</v>
      </c>
      <c r="E49">
        <v>33</v>
      </c>
      <c r="F49" t="s">
        <v>54</v>
      </c>
      <c r="G49" t="s">
        <v>32</v>
      </c>
      <c r="H49" t="s">
        <v>309</v>
      </c>
      <c r="I49" t="s">
        <v>34</v>
      </c>
    </row>
    <row r="50" spans="1:9" x14ac:dyDescent="0.3">
      <c r="A50" t="str">
        <f t="shared" si="1"/>
        <v>26216</v>
      </c>
      <c r="B50">
        <v>2</v>
      </c>
      <c r="C50">
        <v>6</v>
      </c>
      <c r="D50">
        <v>2</v>
      </c>
      <c r="E50">
        <v>16</v>
      </c>
      <c r="F50" t="s">
        <v>48</v>
      </c>
      <c r="G50" t="s">
        <v>39</v>
      </c>
      <c r="H50" t="s">
        <v>314</v>
      </c>
      <c r="I50" t="s">
        <v>43</v>
      </c>
    </row>
    <row r="51" spans="1:9" x14ac:dyDescent="0.3">
      <c r="A51" t="str">
        <f t="shared" si="1"/>
        <v>45836</v>
      </c>
      <c r="B51">
        <v>4</v>
      </c>
      <c r="C51">
        <v>5</v>
      </c>
      <c r="D51">
        <v>8</v>
      </c>
      <c r="E51">
        <v>36</v>
      </c>
      <c r="F51" t="s">
        <v>54</v>
      </c>
      <c r="G51" t="s">
        <v>32</v>
      </c>
      <c r="H51" t="s">
        <v>313</v>
      </c>
      <c r="I51" t="s">
        <v>37</v>
      </c>
    </row>
    <row r="52" spans="1:9" x14ac:dyDescent="0.3">
      <c r="A52" t="str">
        <f t="shared" si="1"/>
        <v>44435</v>
      </c>
      <c r="B52">
        <v>4</v>
      </c>
      <c r="C52">
        <v>4</v>
      </c>
      <c r="D52">
        <v>4</v>
      </c>
      <c r="E52">
        <v>35</v>
      </c>
      <c r="F52" t="s">
        <v>54</v>
      </c>
      <c r="G52" t="s">
        <v>18</v>
      </c>
      <c r="H52" t="s">
        <v>70</v>
      </c>
      <c r="I52" t="s">
        <v>24</v>
      </c>
    </row>
    <row r="53" spans="1:9" x14ac:dyDescent="0.3">
      <c r="A53" t="str">
        <f t="shared" si="1"/>
        <v>1329</v>
      </c>
      <c r="B53">
        <v>1</v>
      </c>
      <c r="C53">
        <v>3</v>
      </c>
      <c r="D53">
        <v>2</v>
      </c>
      <c r="E53">
        <v>9</v>
      </c>
      <c r="F53" t="s">
        <v>51</v>
      </c>
      <c r="G53" t="s">
        <v>11</v>
      </c>
      <c r="H53" t="s">
        <v>314</v>
      </c>
      <c r="I53" t="s">
        <v>14</v>
      </c>
    </row>
  </sheetData>
  <autoFilter ref="B1:I53" xr:uid="{C9C6187D-2453-489F-91A0-DE8E4449847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1C84A-A0AF-45A1-BD8F-67B31B0203BF}">
  <dimension ref="A1:F351"/>
  <sheetViews>
    <sheetView workbookViewId="0">
      <selection sqref="A1:F1"/>
    </sheetView>
  </sheetViews>
  <sheetFormatPr defaultRowHeight="14.4" x14ac:dyDescent="0.3"/>
  <cols>
    <col min="1" max="1" width="14.109375" bestFit="1" customWidth="1"/>
    <col min="2" max="2" width="19.77734375" bestFit="1" customWidth="1"/>
    <col min="3" max="3" width="13.5546875" bestFit="1" customWidth="1"/>
    <col min="4" max="4" width="21.6640625" bestFit="1" customWidth="1"/>
    <col min="5" max="5" width="17.88671875" bestFit="1" customWidth="1"/>
    <col min="6" max="6" width="12.6640625" bestFit="1" customWidth="1"/>
  </cols>
  <sheetData>
    <row r="1" spans="1:6" x14ac:dyDescent="0.3">
      <c r="A1" s="2" t="s">
        <v>360</v>
      </c>
      <c r="B1" s="2" t="s">
        <v>350</v>
      </c>
      <c r="C1" s="2" t="s">
        <v>347</v>
      </c>
      <c r="D1" s="2" t="s">
        <v>353</v>
      </c>
      <c r="E1" s="2" t="s">
        <v>356</v>
      </c>
      <c r="F1" s="2" t="s">
        <v>355</v>
      </c>
    </row>
    <row r="2" spans="1:6" x14ac:dyDescent="0.3">
      <c r="A2" t="str">
        <f>B2&amp;"1"&amp;C2&amp;"1"&amp;D2&amp;"1"&amp;E2&amp;"1"&amp;F2</f>
        <v>111111111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3">
      <c r="A3" t="str">
        <f t="shared" ref="A3:A66" si="0">B3&amp;"1"&amp;C3&amp;"1"&amp;D3&amp;"1"&amp;E3&amp;"1"&amp;F3</f>
        <v>112121212</v>
      </c>
      <c r="B3">
        <v>1</v>
      </c>
      <c r="C3">
        <v>2</v>
      </c>
      <c r="D3">
        <v>2</v>
      </c>
      <c r="E3">
        <v>2</v>
      </c>
      <c r="F3">
        <v>2</v>
      </c>
    </row>
    <row r="4" spans="1:6" x14ac:dyDescent="0.3">
      <c r="A4" t="str">
        <f t="shared" si="0"/>
        <v>113121312</v>
      </c>
      <c r="B4">
        <v>1</v>
      </c>
      <c r="C4">
        <v>3</v>
      </c>
      <c r="D4">
        <v>2</v>
      </c>
      <c r="E4">
        <v>3</v>
      </c>
      <c r="F4">
        <v>2</v>
      </c>
    </row>
    <row r="5" spans="1:6" x14ac:dyDescent="0.3">
      <c r="A5" t="str">
        <f t="shared" si="0"/>
        <v>212121413</v>
      </c>
      <c r="B5">
        <v>2</v>
      </c>
      <c r="C5">
        <v>2</v>
      </c>
      <c r="D5">
        <v>2</v>
      </c>
      <c r="E5">
        <v>4</v>
      </c>
      <c r="F5">
        <v>3</v>
      </c>
    </row>
    <row r="6" spans="1:6" x14ac:dyDescent="0.3">
      <c r="A6" t="str">
        <f t="shared" si="0"/>
        <v>314131514</v>
      </c>
      <c r="B6">
        <v>3</v>
      </c>
      <c r="C6">
        <v>4</v>
      </c>
      <c r="D6">
        <v>3</v>
      </c>
      <c r="E6">
        <v>5</v>
      </c>
      <c r="F6">
        <v>4</v>
      </c>
    </row>
    <row r="7" spans="1:6" x14ac:dyDescent="0.3">
      <c r="A7" t="str">
        <f t="shared" si="0"/>
        <v>414141614</v>
      </c>
      <c r="B7">
        <v>4</v>
      </c>
      <c r="C7">
        <v>4</v>
      </c>
      <c r="D7">
        <v>4</v>
      </c>
      <c r="E7">
        <v>6</v>
      </c>
      <c r="F7">
        <v>4</v>
      </c>
    </row>
    <row r="8" spans="1:6" x14ac:dyDescent="0.3">
      <c r="A8" t="str">
        <f t="shared" si="0"/>
        <v>113121715</v>
      </c>
      <c r="B8">
        <v>1</v>
      </c>
      <c r="C8">
        <v>3</v>
      </c>
      <c r="D8">
        <v>2</v>
      </c>
      <c r="E8">
        <v>7</v>
      </c>
      <c r="F8">
        <v>5</v>
      </c>
    </row>
    <row r="9" spans="1:6" x14ac:dyDescent="0.3">
      <c r="A9" t="str">
        <f t="shared" si="0"/>
        <v>414151815</v>
      </c>
      <c r="B9">
        <v>4</v>
      </c>
      <c r="C9">
        <v>4</v>
      </c>
      <c r="D9">
        <v>5</v>
      </c>
      <c r="E9">
        <v>8</v>
      </c>
      <c r="F9">
        <v>5</v>
      </c>
    </row>
    <row r="10" spans="1:6" x14ac:dyDescent="0.3">
      <c r="A10" t="str">
        <f t="shared" si="0"/>
        <v>113161916</v>
      </c>
      <c r="B10">
        <v>1</v>
      </c>
      <c r="C10">
        <v>3</v>
      </c>
      <c r="D10">
        <v>6</v>
      </c>
      <c r="E10">
        <v>9</v>
      </c>
      <c r="F10">
        <v>6</v>
      </c>
    </row>
    <row r="11" spans="1:6" x14ac:dyDescent="0.3">
      <c r="A11" t="str">
        <f t="shared" si="0"/>
        <v>314141616</v>
      </c>
      <c r="B11">
        <v>3</v>
      </c>
      <c r="C11">
        <v>4</v>
      </c>
      <c r="D11">
        <v>4</v>
      </c>
      <c r="E11">
        <v>6</v>
      </c>
      <c r="F11">
        <v>6</v>
      </c>
    </row>
    <row r="12" spans="1:6" x14ac:dyDescent="0.3">
      <c r="A12" t="str">
        <f t="shared" si="0"/>
        <v>4151511017</v>
      </c>
      <c r="B12">
        <v>4</v>
      </c>
      <c r="C12">
        <v>5</v>
      </c>
      <c r="D12">
        <v>5</v>
      </c>
      <c r="E12">
        <v>10</v>
      </c>
      <c r="F12">
        <v>7</v>
      </c>
    </row>
    <row r="13" spans="1:6" x14ac:dyDescent="0.3">
      <c r="A13" t="str">
        <f t="shared" si="0"/>
        <v>314141618</v>
      </c>
      <c r="B13">
        <v>3</v>
      </c>
      <c r="C13">
        <v>4</v>
      </c>
      <c r="D13">
        <v>4</v>
      </c>
      <c r="E13">
        <v>6</v>
      </c>
      <c r="F13">
        <v>8</v>
      </c>
    </row>
    <row r="14" spans="1:6" x14ac:dyDescent="0.3">
      <c r="A14" t="str">
        <f t="shared" si="0"/>
        <v>2121211119</v>
      </c>
      <c r="B14">
        <v>2</v>
      </c>
      <c r="C14">
        <v>2</v>
      </c>
      <c r="D14">
        <v>2</v>
      </c>
      <c r="E14">
        <v>11</v>
      </c>
      <c r="F14">
        <v>9</v>
      </c>
    </row>
    <row r="15" spans="1:6" x14ac:dyDescent="0.3">
      <c r="A15" t="str">
        <f t="shared" si="0"/>
        <v>4141416110</v>
      </c>
      <c r="B15">
        <v>4</v>
      </c>
      <c r="C15">
        <v>4</v>
      </c>
      <c r="D15">
        <v>4</v>
      </c>
      <c r="E15">
        <v>6</v>
      </c>
      <c r="F15">
        <v>10</v>
      </c>
    </row>
    <row r="16" spans="1:6" x14ac:dyDescent="0.3">
      <c r="A16" t="str">
        <f t="shared" si="0"/>
        <v>41515112111</v>
      </c>
      <c r="B16">
        <v>4</v>
      </c>
      <c r="C16">
        <v>5</v>
      </c>
      <c r="D16">
        <v>5</v>
      </c>
      <c r="E16">
        <v>12</v>
      </c>
      <c r="F16">
        <v>11</v>
      </c>
    </row>
    <row r="17" spans="1:6" x14ac:dyDescent="0.3">
      <c r="A17" t="str">
        <f t="shared" si="0"/>
        <v>4141416111</v>
      </c>
      <c r="B17">
        <v>4</v>
      </c>
      <c r="C17">
        <v>4</v>
      </c>
      <c r="D17">
        <v>4</v>
      </c>
      <c r="E17">
        <v>6</v>
      </c>
      <c r="F17">
        <v>11</v>
      </c>
    </row>
    <row r="18" spans="1:6" x14ac:dyDescent="0.3">
      <c r="A18" t="str">
        <f t="shared" si="0"/>
        <v>21617113112</v>
      </c>
      <c r="B18">
        <v>2</v>
      </c>
      <c r="C18">
        <v>6</v>
      </c>
      <c r="D18">
        <v>7</v>
      </c>
      <c r="E18">
        <v>13</v>
      </c>
      <c r="F18">
        <v>12</v>
      </c>
    </row>
    <row r="19" spans="1:6" x14ac:dyDescent="0.3">
      <c r="A19" t="str">
        <f t="shared" si="0"/>
        <v>11111114113</v>
      </c>
      <c r="B19">
        <v>1</v>
      </c>
      <c r="C19">
        <v>1</v>
      </c>
      <c r="D19">
        <v>1</v>
      </c>
      <c r="E19">
        <v>14</v>
      </c>
      <c r="F19">
        <v>13</v>
      </c>
    </row>
    <row r="20" spans="1:6" x14ac:dyDescent="0.3">
      <c r="A20" t="str">
        <f t="shared" si="0"/>
        <v>3141415113</v>
      </c>
      <c r="B20">
        <v>3</v>
      </c>
      <c r="C20">
        <v>4</v>
      </c>
      <c r="D20">
        <v>4</v>
      </c>
      <c r="E20">
        <v>5</v>
      </c>
      <c r="F20">
        <v>13</v>
      </c>
    </row>
    <row r="21" spans="1:6" x14ac:dyDescent="0.3">
      <c r="A21" t="str">
        <f t="shared" si="0"/>
        <v>21212115114</v>
      </c>
      <c r="B21">
        <v>2</v>
      </c>
      <c r="C21">
        <v>2</v>
      </c>
      <c r="D21">
        <v>2</v>
      </c>
      <c r="E21">
        <v>15</v>
      </c>
      <c r="F21">
        <v>14</v>
      </c>
    </row>
    <row r="22" spans="1:6" x14ac:dyDescent="0.3">
      <c r="A22" t="str">
        <f t="shared" si="0"/>
        <v>5141315114</v>
      </c>
      <c r="B22">
        <v>5</v>
      </c>
      <c r="C22">
        <v>4</v>
      </c>
      <c r="D22">
        <v>3</v>
      </c>
      <c r="E22">
        <v>5</v>
      </c>
      <c r="F22">
        <v>14</v>
      </c>
    </row>
    <row r="23" spans="1:6" x14ac:dyDescent="0.3">
      <c r="A23" t="str">
        <f t="shared" si="0"/>
        <v>21617116115</v>
      </c>
      <c r="B23">
        <v>2</v>
      </c>
      <c r="C23">
        <v>6</v>
      </c>
      <c r="D23">
        <v>7</v>
      </c>
      <c r="E23">
        <v>16</v>
      </c>
      <c r="F23">
        <v>15</v>
      </c>
    </row>
    <row r="24" spans="1:6" x14ac:dyDescent="0.3">
      <c r="A24" t="str">
        <f t="shared" si="0"/>
        <v>3141416115</v>
      </c>
      <c r="B24">
        <v>3</v>
      </c>
      <c r="C24">
        <v>4</v>
      </c>
      <c r="D24">
        <v>4</v>
      </c>
      <c r="E24">
        <v>6</v>
      </c>
      <c r="F24">
        <v>15</v>
      </c>
    </row>
    <row r="25" spans="1:6" x14ac:dyDescent="0.3">
      <c r="A25" t="str">
        <f t="shared" si="0"/>
        <v>1131213116</v>
      </c>
      <c r="B25">
        <v>1</v>
      </c>
      <c r="C25">
        <v>3</v>
      </c>
      <c r="D25">
        <v>2</v>
      </c>
      <c r="E25">
        <v>3</v>
      </c>
      <c r="F25">
        <v>16</v>
      </c>
    </row>
    <row r="26" spans="1:6" x14ac:dyDescent="0.3">
      <c r="A26" t="str">
        <f t="shared" si="0"/>
        <v>41111117117</v>
      </c>
      <c r="B26">
        <v>4</v>
      </c>
      <c r="C26">
        <v>1</v>
      </c>
      <c r="D26">
        <v>1</v>
      </c>
      <c r="E26">
        <v>17</v>
      </c>
      <c r="F26">
        <v>17</v>
      </c>
    </row>
    <row r="27" spans="1:6" x14ac:dyDescent="0.3">
      <c r="A27" t="str">
        <f t="shared" si="0"/>
        <v>3141315117</v>
      </c>
      <c r="B27">
        <v>3</v>
      </c>
      <c r="C27">
        <v>4</v>
      </c>
      <c r="D27">
        <v>3</v>
      </c>
      <c r="E27">
        <v>5</v>
      </c>
      <c r="F27">
        <v>17</v>
      </c>
    </row>
    <row r="28" spans="1:6" x14ac:dyDescent="0.3">
      <c r="A28" t="str">
        <f t="shared" si="0"/>
        <v>11212118118</v>
      </c>
      <c r="B28">
        <v>1</v>
      </c>
      <c r="C28">
        <v>2</v>
      </c>
      <c r="D28">
        <v>2</v>
      </c>
      <c r="E28">
        <v>18</v>
      </c>
      <c r="F28">
        <v>18</v>
      </c>
    </row>
    <row r="29" spans="1:6" x14ac:dyDescent="0.3">
      <c r="A29" t="str">
        <f t="shared" si="0"/>
        <v>21612119118</v>
      </c>
      <c r="B29">
        <v>2</v>
      </c>
      <c r="C29">
        <v>6</v>
      </c>
      <c r="D29">
        <v>2</v>
      </c>
      <c r="E29">
        <v>19</v>
      </c>
      <c r="F29">
        <v>18</v>
      </c>
    </row>
    <row r="30" spans="1:6" x14ac:dyDescent="0.3">
      <c r="A30" t="str">
        <f t="shared" si="0"/>
        <v>3141416119</v>
      </c>
      <c r="B30">
        <v>3</v>
      </c>
      <c r="C30">
        <v>4</v>
      </c>
      <c r="D30">
        <v>4</v>
      </c>
      <c r="E30">
        <v>6</v>
      </c>
      <c r="F30">
        <v>19</v>
      </c>
    </row>
    <row r="31" spans="1:6" x14ac:dyDescent="0.3">
      <c r="A31" t="str">
        <f t="shared" si="0"/>
        <v>1121212120</v>
      </c>
      <c r="B31">
        <v>1</v>
      </c>
      <c r="C31">
        <v>2</v>
      </c>
      <c r="D31">
        <v>2</v>
      </c>
      <c r="E31">
        <v>2</v>
      </c>
      <c r="F31">
        <v>20</v>
      </c>
    </row>
    <row r="32" spans="1:6" x14ac:dyDescent="0.3">
      <c r="A32" t="str">
        <f t="shared" si="0"/>
        <v>1131213120</v>
      </c>
      <c r="B32">
        <v>1</v>
      </c>
      <c r="C32">
        <v>3</v>
      </c>
      <c r="D32">
        <v>2</v>
      </c>
      <c r="E32">
        <v>3</v>
      </c>
      <c r="F32">
        <v>20</v>
      </c>
    </row>
    <row r="33" spans="1:6" x14ac:dyDescent="0.3">
      <c r="A33" t="str">
        <f t="shared" si="0"/>
        <v>1121212121</v>
      </c>
      <c r="B33">
        <v>1</v>
      </c>
      <c r="C33">
        <v>2</v>
      </c>
      <c r="D33">
        <v>2</v>
      </c>
      <c r="E33">
        <v>2</v>
      </c>
      <c r="F33">
        <v>21</v>
      </c>
    </row>
    <row r="34" spans="1:6" x14ac:dyDescent="0.3">
      <c r="A34" t="str">
        <f t="shared" si="0"/>
        <v>41515120122</v>
      </c>
      <c r="B34">
        <v>4</v>
      </c>
      <c r="C34">
        <v>5</v>
      </c>
      <c r="D34">
        <v>5</v>
      </c>
      <c r="E34">
        <v>20</v>
      </c>
      <c r="F34">
        <v>22</v>
      </c>
    </row>
    <row r="35" spans="1:6" x14ac:dyDescent="0.3">
      <c r="A35" t="str">
        <f t="shared" si="0"/>
        <v>41118121123</v>
      </c>
      <c r="B35">
        <v>4</v>
      </c>
      <c r="C35">
        <v>1</v>
      </c>
      <c r="D35">
        <v>8</v>
      </c>
      <c r="E35">
        <v>21</v>
      </c>
      <c r="F35">
        <v>23</v>
      </c>
    </row>
    <row r="36" spans="1:6" x14ac:dyDescent="0.3">
      <c r="A36" t="str">
        <f t="shared" si="0"/>
        <v>4141518123</v>
      </c>
      <c r="B36">
        <v>4</v>
      </c>
      <c r="C36">
        <v>4</v>
      </c>
      <c r="D36">
        <v>5</v>
      </c>
      <c r="E36">
        <v>8</v>
      </c>
      <c r="F36">
        <v>23</v>
      </c>
    </row>
    <row r="37" spans="1:6" x14ac:dyDescent="0.3">
      <c r="A37" t="str">
        <f t="shared" si="0"/>
        <v>21617122124</v>
      </c>
      <c r="B37">
        <v>2</v>
      </c>
      <c r="C37">
        <v>6</v>
      </c>
      <c r="D37">
        <v>7</v>
      </c>
      <c r="E37">
        <v>22</v>
      </c>
      <c r="F37">
        <v>24</v>
      </c>
    </row>
    <row r="38" spans="1:6" x14ac:dyDescent="0.3">
      <c r="A38" t="str">
        <f t="shared" si="0"/>
        <v>21212115125</v>
      </c>
      <c r="B38">
        <v>2</v>
      </c>
      <c r="C38">
        <v>2</v>
      </c>
      <c r="D38">
        <v>2</v>
      </c>
      <c r="E38">
        <v>15</v>
      </c>
      <c r="F38">
        <v>25</v>
      </c>
    </row>
    <row r="39" spans="1:6" x14ac:dyDescent="0.3">
      <c r="A39" t="str">
        <f t="shared" si="0"/>
        <v>3141315125</v>
      </c>
      <c r="B39">
        <v>3</v>
      </c>
      <c r="C39">
        <v>4</v>
      </c>
      <c r="D39">
        <v>3</v>
      </c>
      <c r="E39">
        <v>5</v>
      </c>
      <c r="F39">
        <v>25</v>
      </c>
    </row>
    <row r="40" spans="1:6" x14ac:dyDescent="0.3">
      <c r="A40" t="str">
        <f t="shared" si="0"/>
        <v>11212123125</v>
      </c>
      <c r="B40">
        <v>1</v>
      </c>
      <c r="C40">
        <v>2</v>
      </c>
      <c r="D40">
        <v>2</v>
      </c>
      <c r="E40">
        <v>23</v>
      </c>
      <c r="F40">
        <v>25</v>
      </c>
    </row>
    <row r="41" spans="1:6" x14ac:dyDescent="0.3">
      <c r="A41" t="str">
        <f t="shared" si="0"/>
        <v>41111121126</v>
      </c>
      <c r="B41">
        <v>4</v>
      </c>
      <c r="C41">
        <v>1</v>
      </c>
      <c r="D41">
        <v>1</v>
      </c>
      <c r="E41">
        <v>21</v>
      </c>
      <c r="F41">
        <v>26</v>
      </c>
    </row>
    <row r="42" spans="1:6" x14ac:dyDescent="0.3">
      <c r="A42" t="str">
        <f t="shared" si="0"/>
        <v>21212115127</v>
      </c>
      <c r="B42">
        <v>2</v>
      </c>
      <c r="C42">
        <v>2</v>
      </c>
      <c r="D42">
        <v>2</v>
      </c>
      <c r="E42">
        <v>15</v>
      </c>
      <c r="F42">
        <v>27</v>
      </c>
    </row>
    <row r="43" spans="1:6" x14ac:dyDescent="0.3">
      <c r="A43" t="str">
        <f t="shared" si="0"/>
        <v>5141315127</v>
      </c>
      <c r="B43">
        <v>5</v>
      </c>
      <c r="C43">
        <v>4</v>
      </c>
      <c r="D43">
        <v>3</v>
      </c>
      <c r="E43">
        <v>5</v>
      </c>
      <c r="F43">
        <v>27</v>
      </c>
    </row>
    <row r="44" spans="1:6" x14ac:dyDescent="0.3">
      <c r="A44" t="str">
        <f t="shared" si="0"/>
        <v>1131619128</v>
      </c>
      <c r="B44">
        <v>1</v>
      </c>
      <c r="C44">
        <v>3</v>
      </c>
      <c r="D44">
        <v>6</v>
      </c>
      <c r="E44">
        <v>9</v>
      </c>
      <c r="F44">
        <v>28</v>
      </c>
    </row>
    <row r="45" spans="1:6" x14ac:dyDescent="0.3">
      <c r="A45" t="str">
        <f t="shared" si="0"/>
        <v>3141416128</v>
      </c>
      <c r="B45">
        <v>3</v>
      </c>
      <c r="C45">
        <v>4</v>
      </c>
      <c r="D45">
        <v>4</v>
      </c>
      <c r="E45">
        <v>6</v>
      </c>
      <c r="F45">
        <v>28</v>
      </c>
    </row>
    <row r="46" spans="1:6" x14ac:dyDescent="0.3">
      <c r="A46" t="str">
        <f t="shared" si="0"/>
        <v>11212118129</v>
      </c>
      <c r="B46">
        <v>1</v>
      </c>
      <c r="C46">
        <v>2</v>
      </c>
      <c r="D46">
        <v>2</v>
      </c>
      <c r="E46">
        <v>18</v>
      </c>
      <c r="F46">
        <v>29</v>
      </c>
    </row>
    <row r="47" spans="1:6" x14ac:dyDescent="0.3">
      <c r="A47" t="str">
        <f t="shared" si="0"/>
        <v>21612119129</v>
      </c>
      <c r="B47">
        <v>2</v>
      </c>
      <c r="C47">
        <v>6</v>
      </c>
      <c r="D47">
        <v>2</v>
      </c>
      <c r="E47">
        <v>19</v>
      </c>
      <c r="F47">
        <v>29</v>
      </c>
    </row>
    <row r="48" spans="1:6" x14ac:dyDescent="0.3">
      <c r="A48" t="str">
        <f t="shared" si="0"/>
        <v>1131213130</v>
      </c>
      <c r="B48">
        <v>1</v>
      </c>
      <c r="C48">
        <v>3</v>
      </c>
      <c r="D48">
        <v>2</v>
      </c>
      <c r="E48">
        <v>3</v>
      </c>
      <c r="F48">
        <v>30</v>
      </c>
    </row>
    <row r="49" spans="1:6" x14ac:dyDescent="0.3">
      <c r="A49" t="str">
        <f t="shared" si="0"/>
        <v>4141416130</v>
      </c>
      <c r="B49">
        <v>4</v>
      </c>
      <c r="C49">
        <v>4</v>
      </c>
      <c r="D49">
        <v>4</v>
      </c>
      <c r="E49">
        <v>6</v>
      </c>
      <c r="F49">
        <v>30</v>
      </c>
    </row>
    <row r="50" spans="1:6" x14ac:dyDescent="0.3">
      <c r="A50" t="str">
        <f t="shared" si="0"/>
        <v>11312124131</v>
      </c>
      <c r="B50">
        <v>1</v>
      </c>
      <c r="C50">
        <v>3</v>
      </c>
      <c r="D50">
        <v>2</v>
      </c>
      <c r="E50">
        <v>24</v>
      </c>
      <c r="F50">
        <v>31</v>
      </c>
    </row>
    <row r="51" spans="1:6" x14ac:dyDescent="0.3">
      <c r="A51" t="str">
        <f t="shared" si="0"/>
        <v>4141416131</v>
      </c>
      <c r="B51">
        <v>4</v>
      </c>
      <c r="C51">
        <v>4</v>
      </c>
      <c r="D51">
        <v>4</v>
      </c>
      <c r="E51">
        <v>6</v>
      </c>
      <c r="F51">
        <v>31</v>
      </c>
    </row>
    <row r="52" spans="1:6" x14ac:dyDescent="0.3">
      <c r="A52" t="str">
        <f t="shared" si="0"/>
        <v>1121212132</v>
      </c>
      <c r="B52">
        <v>1</v>
      </c>
      <c r="C52">
        <v>2</v>
      </c>
      <c r="D52">
        <v>2</v>
      </c>
      <c r="E52">
        <v>2</v>
      </c>
      <c r="F52">
        <v>32</v>
      </c>
    </row>
    <row r="53" spans="1:6" x14ac:dyDescent="0.3">
      <c r="A53" t="str">
        <f t="shared" si="0"/>
        <v>21212111132</v>
      </c>
      <c r="B53">
        <v>2</v>
      </c>
      <c r="C53">
        <v>2</v>
      </c>
      <c r="D53">
        <v>2</v>
      </c>
      <c r="E53">
        <v>11</v>
      </c>
      <c r="F53">
        <v>32</v>
      </c>
    </row>
    <row r="54" spans="1:6" x14ac:dyDescent="0.3">
      <c r="A54" t="str">
        <f t="shared" si="0"/>
        <v>41111117133</v>
      </c>
      <c r="B54">
        <v>4</v>
      </c>
      <c r="C54">
        <v>1</v>
      </c>
      <c r="D54">
        <v>1</v>
      </c>
      <c r="E54">
        <v>17</v>
      </c>
      <c r="F54">
        <v>33</v>
      </c>
    </row>
    <row r="55" spans="1:6" x14ac:dyDescent="0.3">
      <c r="A55" t="str">
        <f t="shared" si="0"/>
        <v>41515120133</v>
      </c>
      <c r="B55">
        <v>4</v>
      </c>
      <c r="C55">
        <v>5</v>
      </c>
      <c r="D55">
        <v>5</v>
      </c>
      <c r="E55">
        <v>20</v>
      </c>
      <c r="F55">
        <v>33</v>
      </c>
    </row>
    <row r="56" spans="1:6" x14ac:dyDescent="0.3">
      <c r="A56" t="str">
        <f t="shared" si="0"/>
        <v>5141315134</v>
      </c>
      <c r="B56">
        <v>5</v>
      </c>
      <c r="C56">
        <v>4</v>
      </c>
      <c r="D56">
        <v>3</v>
      </c>
      <c r="E56">
        <v>5</v>
      </c>
      <c r="F56">
        <v>34</v>
      </c>
    </row>
    <row r="57" spans="1:6" x14ac:dyDescent="0.3">
      <c r="A57" t="str">
        <f t="shared" si="0"/>
        <v>41111117135</v>
      </c>
      <c r="B57">
        <v>4</v>
      </c>
      <c r="C57">
        <v>1</v>
      </c>
      <c r="D57">
        <v>1</v>
      </c>
      <c r="E57">
        <v>17</v>
      </c>
      <c r="F57">
        <v>35</v>
      </c>
    </row>
    <row r="58" spans="1:6" x14ac:dyDescent="0.3">
      <c r="A58" t="str">
        <f t="shared" si="0"/>
        <v>21617125136</v>
      </c>
      <c r="B58">
        <v>2</v>
      </c>
      <c r="C58">
        <v>6</v>
      </c>
      <c r="D58">
        <v>7</v>
      </c>
      <c r="E58">
        <v>25</v>
      </c>
      <c r="F58">
        <v>36</v>
      </c>
    </row>
    <row r="59" spans="1:6" x14ac:dyDescent="0.3">
      <c r="A59" t="str">
        <f t="shared" si="0"/>
        <v>21212115137</v>
      </c>
      <c r="B59">
        <v>2</v>
      </c>
      <c r="C59">
        <v>2</v>
      </c>
      <c r="D59">
        <v>2</v>
      </c>
      <c r="E59">
        <v>15</v>
      </c>
      <c r="F59">
        <v>37</v>
      </c>
    </row>
    <row r="60" spans="1:6" x14ac:dyDescent="0.3">
      <c r="A60" t="str">
        <f t="shared" si="0"/>
        <v>41111121137</v>
      </c>
      <c r="B60">
        <v>4</v>
      </c>
      <c r="C60">
        <v>1</v>
      </c>
      <c r="D60">
        <v>1</v>
      </c>
      <c r="E60">
        <v>21</v>
      </c>
      <c r="F60">
        <v>37</v>
      </c>
    </row>
    <row r="61" spans="1:6" x14ac:dyDescent="0.3">
      <c r="A61" t="str">
        <f t="shared" si="0"/>
        <v>1131217138</v>
      </c>
      <c r="B61">
        <v>1</v>
      </c>
      <c r="C61">
        <v>3</v>
      </c>
      <c r="D61">
        <v>2</v>
      </c>
      <c r="E61">
        <v>7</v>
      </c>
      <c r="F61">
        <v>38</v>
      </c>
    </row>
    <row r="62" spans="1:6" x14ac:dyDescent="0.3">
      <c r="A62" t="str">
        <f t="shared" si="0"/>
        <v>21212111138</v>
      </c>
      <c r="B62">
        <v>2</v>
      </c>
      <c r="C62">
        <v>2</v>
      </c>
      <c r="D62">
        <v>2</v>
      </c>
      <c r="E62">
        <v>11</v>
      </c>
      <c r="F62">
        <v>38</v>
      </c>
    </row>
    <row r="63" spans="1:6" x14ac:dyDescent="0.3">
      <c r="A63" t="str">
        <f t="shared" si="0"/>
        <v>21617126139</v>
      </c>
      <c r="B63">
        <v>2</v>
      </c>
      <c r="C63">
        <v>6</v>
      </c>
      <c r="D63">
        <v>7</v>
      </c>
      <c r="E63">
        <v>26</v>
      </c>
      <c r="F63">
        <v>39</v>
      </c>
    </row>
    <row r="64" spans="1:6" x14ac:dyDescent="0.3">
      <c r="A64" t="str">
        <f t="shared" si="0"/>
        <v>3141416139</v>
      </c>
      <c r="B64">
        <v>3</v>
      </c>
      <c r="C64">
        <v>4</v>
      </c>
      <c r="D64">
        <v>4</v>
      </c>
      <c r="E64">
        <v>6</v>
      </c>
      <c r="F64">
        <v>39</v>
      </c>
    </row>
    <row r="65" spans="1:6" x14ac:dyDescent="0.3">
      <c r="A65" t="str">
        <f t="shared" si="0"/>
        <v>11111127140</v>
      </c>
      <c r="B65">
        <v>1</v>
      </c>
      <c r="C65">
        <v>1</v>
      </c>
      <c r="D65">
        <v>1</v>
      </c>
      <c r="E65">
        <v>27</v>
      </c>
      <c r="F65">
        <v>40</v>
      </c>
    </row>
    <row r="66" spans="1:6" x14ac:dyDescent="0.3">
      <c r="A66" t="str">
        <f t="shared" si="0"/>
        <v>4141416141</v>
      </c>
      <c r="B66">
        <v>4</v>
      </c>
      <c r="C66">
        <v>4</v>
      </c>
      <c r="D66">
        <v>4</v>
      </c>
      <c r="E66">
        <v>6</v>
      </c>
      <c r="F66">
        <v>41</v>
      </c>
    </row>
    <row r="67" spans="1:6" x14ac:dyDescent="0.3">
      <c r="A67" t="str">
        <f t="shared" ref="A67:A130" si="1">B67&amp;"1"&amp;C67&amp;"1"&amp;D67&amp;"1"&amp;E67&amp;"1"&amp;F67</f>
        <v>3141415142</v>
      </c>
      <c r="B67">
        <v>3</v>
      </c>
      <c r="C67">
        <v>4</v>
      </c>
      <c r="D67">
        <v>4</v>
      </c>
      <c r="E67">
        <v>5</v>
      </c>
      <c r="F67">
        <v>42</v>
      </c>
    </row>
    <row r="68" spans="1:6" x14ac:dyDescent="0.3">
      <c r="A68" t="str">
        <f t="shared" si="1"/>
        <v>21612119142</v>
      </c>
      <c r="B68">
        <v>2</v>
      </c>
      <c r="C68">
        <v>6</v>
      </c>
      <c r="D68">
        <v>2</v>
      </c>
      <c r="E68">
        <v>19</v>
      </c>
      <c r="F68">
        <v>42</v>
      </c>
    </row>
    <row r="69" spans="1:6" x14ac:dyDescent="0.3">
      <c r="A69" t="str">
        <f t="shared" si="1"/>
        <v>1121212143</v>
      </c>
      <c r="B69">
        <v>1</v>
      </c>
      <c r="C69">
        <v>2</v>
      </c>
      <c r="D69">
        <v>2</v>
      </c>
      <c r="E69">
        <v>2</v>
      </c>
      <c r="F69">
        <v>43</v>
      </c>
    </row>
    <row r="70" spans="1:6" x14ac:dyDescent="0.3">
      <c r="A70" t="str">
        <f t="shared" si="1"/>
        <v>21212111143</v>
      </c>
      <c r="B70">
        <v>2</v>
      </c>
      <c r="C70">
        <v>2</v>
      </c>
      <c r="D70">
        <v>2</v>
      </c>
      <c r="E70">
        <v>11</v>
      </c>
      <c r="F70">
        <v>43</v>
      </c>
    </row>
    <row r="71" spans="1:6" x14ac:dyDescent="0.3">
      <c r="A71" t="str">
        <f t="shared" si="1"/>
        <v>1131217144</v>
      </c>
      <c r="B71">
        <v>1</v>
      </c>
      <c r="C71">
        <v>3</v>
      </c>
      <c r="D71">
        <v>2</v>
      </c>
      <c r="E71">
        <v>7</v>
      </c>
      <c r="F71">
        <v>44</v>
      </c>
    </row>
    <row r="72" spans="1:6" x14ac:dyDescent="0.3">
      <c r="A72" t="str">
        <f t="shared" si="1"/>
        <v>21212111144</v>
      </c>
      <c r="B72">
        <v>2</v>
      </c>
      <c r="C72">
        <v>2</v>
      </c>
      <c r="D72">
        <v>2</v>
      </c>
      <c r="E72">
        <v>11</v>
      </c>
      <c r="F72">
        <v>44</v>
      </c>
    </row>
    <row r="73" spans="1:6" x14ac:dyDescent="0.3">
      <c r="A73" t="str">
        <f t="shared" si="1"/>
        <v>5141315145</v>
      </c>
      <c r="B73">
        <v>5</v>
      </c>
      <c r="C73">
        <v>4</v>
      </c>
      <c r="D73">
        <v>3</v>
      </c>
      <c r="E73">
        <v>5</v>
      </c>
      <c r="F73">
        <v>45</v>
      </c>
    </row>
    <row r="74" spans="1:6" x14ac:dyDescent="0.3">
      <c r="A74" t="str">
        <f t="shared" si="1"/>
        <v>4141416146</v>
      </c>
      <c r="B74">
        <v>4</v>
      </c>
      <c r="C74">
        <v>4</v>
      </c>
      <c r="D74">
        <v>4</v>
      </c>
      <c r="E74">
        <v>6</v>
      </c>
      <c r="F74">
        <v>46</v>
      </c>
    </row>
    <row r="75" spans="1:6" x14ac:dyDescent="0.3">
      <c r="A75" t="str">
        <f t="shared" si="1"/>
        <v>21617113147</v>
      </c>
      <c r="B75">
        <v>2</v>
      </c>
      <c r="C75">
        <v>6</v>
      </c>
      <c r="D75">
        <v>7</v>
      </c>
      <c r="E75">
        <v>13</v>
      </c>
      <c r="F75">
        <v>47</v>
      </c>
    </row>
    <row r="76" spans="1:6" x14ac:dyDescent="0.3">
      <c r="A76" t="str">
        <f t="shared" si="1"/>
        <v>1111111148</v>
      </c>
      <c r="B76">
        <v>1</v>
      </c>
      <c r="C76">
        <v>1</v>
      </c>
      <c r="D76">
        <v>1</v>
      </c>
      <c r="E76">
        <v>1</v>
      </c>
      <c r="F76">
        <v>48</v>
      </c>
    </row>
    <row r="77" spans="1:6" x14ac:dyDescent="0.3">
      <c r="A77" t="str">
        <f t="shared" si="1"/>
        <v>3141416147</v>
      </c>
      <c r="B77">
        <v>3</v>
      </c>
      <c r="C77">
        <v>4</v>
      </c>
      <c r="D77">
        <v>4</v>
      </c>
      <c r="E77">
        <v>6</v>
      </c>
      <c r="F77">
        <v>47</v>
      </c>
    </row>
    <row r="78" spans="1:6" x14ac:dyDescent="0.3">
      <c r="A78" t="str">
        <f t="shared" si="1"/>
        <v>21617126149</v>
      </c>
      <c r="B78">
        <v>2</v>
      </c>
      <c r="C78">
        <v>6</v>
      </c>
      <c r="D78">
        <v>7</v>
      </c>
      <c r="E78">
        <v>26</v>
      </c>
      <c r="F78">
        <v>49</v>
      </c>
    </row>
    <row r="79" spans="1:6" x14ac:dyDescent="0.3">
      <c r="A79" t="str">
        <f t="shared" si="1"/>
        <v>21212118149</v>
      </c>
      <c r="B79">
        <v>2</v>
      </c>
      <c r="C79">
        <v>2</v>
      </c>
      <c r="D79">
        <v>2</v>
      </c>
      <c r="E79">
        <v>18</v>
      </c>
      <c r="F79">
        <v>49</v>
      </c>
    </row>
    <row r="80" spans="1:6" x14ac:dyDescent="0.3">
      <c r="A80" t="str">
        <f t="shared" si="1"/>
        <v>1131619150</v>
      </c>
      <c r="B80">
        <v>1</v>
      </c>
      <c r="C80">
        <v>3</v>
      </c>
      <c r="D80">
        <v>6</v>
      </c>
      <c r="E80">
        <v>9</v>
      </c>
      <c r="F80">
        <v>50</v>
      </c>
    </row>
    <row r="81" spans="1:6" x14ac:dyDescent="0.3">
      <c r="A81" t="str">
        <f t="shared" si="1"/>
        <v>3141416150</v>
      </c>
      <c r="B81">
        <v>3</v>
      </c>
      <c r="C81">
        <v>4</v>
      </c>
      <c r="D81">
        <v>4</v>
      </c>
      <c r="E81">
        <v>6</v>
      </c>
      <c r="F81">
        <v>50</v>
      </c>
    </row>
    <row r="82" spans="1:6" x14ac:dyDescent="0.3">
      <c r="A82" t="str">
        <f t="shared" si="1"/>
        <v>21212115151</v>
      </c>
      <c r="B82">
        <v>2</v>
      </c>
      <c r="C82">
        <v>2</v>
      </c>
      <c r="D82">
        <v>2</v>
      </c>
      <c r="E82">
        <v>15</v>
      </c>
      <c r="F82">
        <v>51</v>
      </c>
    </row>
    <row r="83" spans="1:6" x14ac:dyDescent="0.3">
      <c r="A83" t="str">
        <f t="shared" si="1"/>
        <v>21617113151</v>
      </c>
      <c r="B83">
        <v>2</v>
      </c>
      <c r="C83">
        <v>6</v>
      </c>
      <c r="D83">
        <v>7</v>
      </c>
      <c r="E83">
        <v>13</v>
      </c>
      <c r="F83">
        <v>51</v>
      </c>
    </row>
    <row r="84" spans="1:6" x14ac:dyDescent="0.3">
      <c r="A84" t="str">
        <f t="shared" si="1"/>
        <v>21212115152</v>
      </c>
      <c r="B84">
        <v>2</v>
      </c>
      <c r="C84">
        <v>2</v>
      </c>
      <c r="D84">
        <v>2</v>
      </c>
      <c r="E84">
        <v>15</v>
      </c>
      <c r="F84">
        <v>52</v>
      </c>
    </row>
    <row r="85" spans="1:6" x14ac:dyDescent="0.3">
      <c r="A85" t="str">
        <f t="shared" si="1"/>
        <v>41111121152</v>
      </c>
      <c r="B85">
        <v>4</v>
      </c>
      <c r="C85">
        <v>1</v>
      </c>
      <c r="D85">
        <v>1</v>
      </c>
      <c r="E85">
        <v>21</v>
      </c>
      <c r="F85">
        <v>52</v>
      </c>
    </row>
    <row r="86" spans="1:6" x14ac:dyDescent="0.3">
      <c r="A86" t="str">
        <f t="shared" si="1"/>
        <v>21212115153</v>
      </c>
      <c r="B86">
        <v>2</v>
      </c>
      <c r="C86">
        <v>2</v>
      </c>
      <c r="D86">
        <v>2</v>
      </c>
      <c r="E86">
        <v>15</v>
      </c>
      <c r="F86">
        <v>53</v>
      </c>
    </row>
    <row r="87" spans="1:6" x14ac:dyDescent="0.3">
      <c r="A87" t="str">
        <f t="shared" si="1"/>
        <v>1131619154</v>
      </c>
      <c r="B87">
        <v>1</v>
      </c>
      <c r="C87">
        <v>3</v>
      </c>
      <c r="D87">
        <v>6</v>
      </c>
      <c r="E87">
        <v>9</v>
      </c>
      <c r="F87">
        <v>54</v>
      </c>
    </row>
    <row r="88" spans="1:6" x14ac:dyDescent="0.3">
      <c r="A88" t="str">
        <f t="shared" si="1"/>
        <v>41515112155</v>
      </c>
      <c r="B88">
        <v>4</v>
      </c>
      <c r="C88">
        <v>5</v>
      </c>
      <c r="D88">
        <v>5</v>
      </c>
      <c r="E88">
        <v>12</v>
      </c>
      <c r="F88">
        <v>55</v>
      </c>
    </row>
    <row r="89" spans="1:6" x14ac:dyDescent="0.3">
      <c r="A89" t="str">
        <f t="shared" si="1"/>
        <v>11212123155</v>
      </c>
      <c r="B89">
        <v>1</v>
      </c>
      <c r="C89">
        <v>2</v>
      </c>
      <c r="D89">
        <v>2</v>
      </c>
      <c r="E89">
        <v>23</v>
      </c>
      <c r="F89">
        <v>55</v>
      </c>
    </row>
    <row r="90" spans="1:6" x14ac:dyDescent="0.3">
      <c r="A90" t="str">
        <f t="shared" si="1"/>
        <v>41111117156</v>
      </c>
      <c r="B90">
        <v>4</v>
      </c>
      <c r="C90">
        <v>1</v>
      </c>
      <c r="D90">
        <v>1</v>
      </c>
      <c r="E90">
        <v>17</v>
      </c>
      <c r="F90">
        <v>56</v>
      </c>
    </row>
    <row r="91" spans="1:6" x14ac:dyDescent="0.3">
      <c r="A91" t="str">
        <f t="shared" si="1"/>
        <v>1121212157</v>
      </c>
      <c r="B91">
        <v>1</v>
      </c>
      <c r="C91">
        <v>2</v>
      </c>
      <c r="D91">
        <v>2</v>
      </c>
      <c r="E91">
        <v>2</v>
      </c>
      <c r="F91">
        <v>57</v>
      </c>
    </row>
    <row r="92" spans="1:6" x14ac:dyDescent="0.3">
      <c r="A92" t="str">
        <f t="shared" si="1"/>
        <v>11212118157</v>
      </c>
      <c r="B92">
        <v>1</v>
      </c>
      <c r="C92">
        <v>2</v>
      </c>
      <c r="D92">
        <v>2</v>
      </c>
      <c r="E92">
        <v>18</v>
      </c>
      <c r="F92">
        <v>57</v>
      </c>
    </row>
    <row r="93" spans="1:6" x14ac:dyDescent="0.3">
      <c r="A93" t="str">
        <f t="shared" si="1"/>
        <v>11312128158</v>
      </c>
      <c r="B93">
        <v>1</v>
      </c>
      <c r="C93">
        <v>3</v>
      </c>
      <c r="D93">
        <v>2</v>
      </c>
      <c r="E93">
        <v>28</v>
      </c>
      <c r="F93">
        <v>58</v>
      </c>
    </row>
    <row r="94" spans="1:6" x14ac:dyDescent="0.3">
      <c r="A94" t="str">
        <f t="shared" si="1"/>
        <v>11312124158</v>
      </c>
      <c r="B94">
        <v>1</v>
      </c>
      <c r="C94">
        <v>3</v>
      </c>
      <c r="D94">
        <v>2</v>
      </c>
      <c r="E94">
        <v>24</v>
      </c>
      <c r="F94">
        <v>58</v>
      </c>
    </row>
    <row r="95" spans="1:6" x14ac:dyDescent="0.3">
      <c r="A95" t="str">
        <f t="shared" si="1"/>
        <v>5141315159</v>
      </c>
      <c r="B95">
        <v>5</v>
      </c>
      <c r="C95">
        <v>4</v>
      </c>
      <c r="D95">
        <v>3</v>
      </c>
      <c r="E95">
        <v>5</v>
      </c>
      <c r="F95">
        <v>59</v>
      </c>
    </row>
    <row r="96" spans="1:6" x14ac:dyDescent="0.3">
      <c r="A96" t="str">
        <f t="shared" si="1"/>
        <v>11212123160</v>
      </c>
      <c r="B96">
        <v>1</v>
      </c>
      <c r="C96">
        <v>2</v>
      </c>
      <c r="D96">
        <v>2</v>
      </c>
      <c r="E96">
        <v>23</v>
      </c>
      <c r="F96">
        <v>60</v>
      </c>
    </row>
    <row r="97" spans="1:6" x14ac:dyDescent="0.3">
      <c r="A97" t="str">
        <f t="shared" si="1"/>
        <v>21612119160</v>
      </c>
      <c r="B97">
        <v>2</v>
      </c>
      <c r="C97">
        <v>6</v>
      </c>
      <c r="D97">
        <v>2</v>
      </c>
      <c r="E97">
        <v>19</v>
      </c>
      <c r="F97">
        <v>60</v>
      </c>
    </row>
    <row r="98" spans="1:6" x14ac:dyDescent="0.3">
      <c r="A98" t="str">
        <f t="shared" si="1"/>
        <v>5141315161</v>
      </c>
      <c r="B98">
        <v>5</v>
      </c>
      <c r="C98">
        <v>4</v>
      </c>
      <c r="D98">
        <v>3</v>
      </c>
      <c r="E98">
        <v>5</v>
      </c>
      <c r="F98">
        <v>61</v>
      </c>
    </row>
    <row r="99" spans="1:6" x14ac:dyDescent="0.3">
      <c r="A99" t="str">
        <f t="shared" si="1"/>
        <v>41111127162</v>
      </c>
      <c r="B99">
        <v>4</v>
      </c>
      <c r="C99">
        <v>1</v>
      </c>
      <c r="D99">
        <v>1</v>
      </c>
      <c r="E99">
        <v>27</v>
      </c>
      <c r="F99">
        <v>62</v>
      </c>
    </row>
    <row r="100" spans="1:6" x14ac:dyDescent="0.3">
      <c r="A100" t="str">
        <f t="shared" si="1"/>
        <v>1131619162</v>
      </c>
      <c r="B100">
        <v>1</v>
      </c>
      <c r="C100">
        <v>3</v>
      </c>
      <c r="D100">
        <v>6</v>
      </c>
      <c r="E100">
        <v>9</v>
      </c>
      <c r="F100">
        <v>62</v>
      </c>
    </row>
    <row r="101" spans="1:6" x14ac:dyDescent="0.3">
      <c r="A101" t="str">
        <f t="shared" si="1"/>
        <v>11312124163</v>
      </c>
      <c r="B101">
        <v>1</v>
      </c>
      <c r="C101">
        <v>3</v>
      </c>
      <c r="D101">
        <v>2</v>
      </c>
      <c r="E101">
        <v>24</v>
      </c>
      <c r="F101">
        <v>63</v>
      </c>
    </row>
    <row r="102" spans="1:6" x14ac:dyDescent="0.3">
      <c r="A102" t="str">
        <f t="shared" si="1"/>
        <v>3141416163</v>
      </c>
      <c r="B102">
        <v>3</v>
      </c>
      <c r="C102">
        <v>4</v>
      </c>
      <c r="D102">
        <v>4</v>
      </c>
      <c r="E102">
        <v>6</v>
      </c>
      <c r="F102">
        <v>63</v>
      </c>
    </row>
    <row r="103" spans="1:6" x14ac:dyDescent="0.3">
      <c r="A103" t="str">
        <f t="shared" si="1"/>
        <v>21212111164</v>
      </c>
      <c r="B103">
        <v>2</v>
      </c>
      <c r="C103">
        <v>2</v>
      </c>
      <c r="D103">
        <v>2</v>
      </c>
      <c r="E103">
        <v>11</v>
      </c>
      <c r="F103">
        <v>64</v>
      </c>
    </row>
    <row r="104" spans="1:6" x14ac:dyDescent="0.3">
      <c r="A104" t="str">
        <f t="shared" si="1"/>
        <v>5141315165</v>
      </c>
      <c r="B104">
        <v>5</v>
      </c>
      <c r="C104">
        <v>4</v>
      </c>
      <c r="D104">
        <v>3</v>
      </c>
      <c r="E104">
        <v>5</v>
      </c>
      <c r="F104">
        <v>65</v>
      </c>
    </row>
    <row r="105" spans="1:6" x14ac:dyDescent="0.3">
      <c r="A105" t="str">
        <f t="shared" si="1"/>
        <v>3141416166</v>
      </c>
      <c r="B105">
        <v>3</v>
      </c>
      <c r="C105">
        <v>4</v>
      </c>
      <c r="D105">
        <v>4</v>
      </c>
      <c r="E105">
        <v>6</v>
      </c>
      <c r="F105">
        <v>66</v>
      </c>
    </row>
    <row r="106" spans="1:6" x14ac:dyDescent="0.3">
      <c r="A106" t="str">
        <f t="shared" si="1"/>
        <v>11212118167</v>
      </c>
      <c r="B106">
        <v>1</v>
      </c>
      <c r="C106">
        <v>2</v>
      </c>
      <c r="D106">
        <v>2</v>
      </c>
      <c r="E106">
        <v>18</v>
      </c>
      <c r="F106">
        <v>67</v>
      </c>
    </row>
    <row r="107" spans="1:6" x14ac:dyDescent="0.3">
      <c r="A107" t="str">
        <f t="shared" si="1"/>
        <v>41515110167</v>
      </c>
      <c r="B107">
        <v>4</v>
      </c>
      <c r="C107">
        <v>5</v>
      </c>
      <c r="D107">
        <v>5</v>
      </c>
      <c r="E107">
        <v>10</v>
      </c>
      <c r="F107">
        <v>67</v>
      </c>
    </row>
    <row r="108" spans="1:6" x14ac:dyDescent="0.3">
      <c r="A108" t="str">
        <f t="shared" si="1"/>
        <v>1121212168</v>
      </c>
      <c r="B108">
        <v>1</v>
      </c>
      <c r="C108">
        <v>2</v>
      </c>
      <c r="D108">
        <v>2</v>
      </c>
      <c r="E108">
        <v>2</v>
      </c>
      <c r="F108">
        <v>68</v>
      </c>
    </row>
    <row r="109" spans="1:6" x14ac:dyDescent="0.3">
      <c r="A109" t="str">
        <f t="shared" si="1"/>
        <v>21212111168</v>
      </c>
      <c r="B109">
        <v>2</v>
      </c>
      <c r="C109">
        <v>2</v>
      </c>
      <c r="D109">
        <v>2</v>
      </c>
      <c r="E109">
        <v>11</v>
      </c>
      <c r="F109">
        <v>68</v>
      </c>
    </row>
    <row r="110" spans="1:6" x14ac:dyDescent="0.3">
      <c r="A110" t="str">
        <f t="shared" si="1"/>
        <v>4141518169</v>
      </c>
      <c r="B110">
        <v>4</v>
      </c>
      <c r="C110">
        <v>4</v>
      </c>
      <c r="D110">
        <v>5</v>
      </c>
      <c r="E110">
        <v>8</v>
      </c>
      <c r="F110">
        <v>69</v>
      </c>
    </row>
    <row r="111" spans="1:6" x14ac:dyDescent="0.3">
      <c r="A111" t="str">
        <f t="shared" si="1"/>
        <v>3141415170</v>
      </c>
      <c r="B111">
        <v>3</v>
      </c>
      <c r="C111">
        <v>4</v>
      </c>
      <c r="D111">
        <v>4</v>
      </c>
      <c r="E111">
        <v>5</v>
      </c>
      <c r="F111">
        <v>70</v>
      </c>
    </row>
    <row r="112" spans="1:6" x14ac:dyDescent="0.3">
      <c r="A112" t="str">
        <f t="shared" si="1"/>
        <v>1121212171</v>
      </c>
      <c r="B112">
        <v>1</v>
      </c>
      <c r="C112">
        <v>2</v>
      </c>
      <c r="D112">
        <v>2</v>
      </c>
      <c r="E112">
        <v>2</v>
      </c>
      <c r="F112">
        <v>71</v>
      </c>
    </row>
    <row r="113" spans="1:6" x14ac:dyDescent="0.3">
      <c r="A113" t="str">
        <f t="shared" si="1"/>
        <v>21212111171</v>
      </c>
      <c r="B113">
        <v>2</v>
      </c>
      <c r="C113">
        <v>2</v>
      </c>
      <c r="D113">
        <v>2</v>
      </c>
      <c r="E113">
        <v>11</v>
      </c>
      <c r="F113">
        <v>71</v>
      </c>
    </row>
    <row r="114" spans="1:6" x14ac:dyDescent="0.3">
      <c r="A114" t="str">
        <f t="shared" si="1"/>
        <v>5141315172</v>
      </c>
      <c r="B114">
        <v>5</v>
      </c>
      <c r="C114">
        <v>4</v>
      </c>
      <c r="D114">
        <v>3</v>
      </c>
      <c r="E114">
        <v>5</v>
      </c>
      <c r="F114">
        <v>72</v>
      </c>
    </row>
    <row r="115" spans="1:6" x14ac:dyDescent="0.3">
      <c r="A115" t="str">
        <f t="shared" si="1"/>
        <v>3141416173</v>
      </c>
      <c r="B115">
        <v>3</v>
      </c>
      <c r="C115">
        <v>4</v>
      </c>
      <c r="D115">
        <v>4</v>
      </c>
      <c r="E115">
        <v>6</v>
      </c>
      <c r="F115">
        <v>73</v>
      </c>
    </row>
    <row r="116" spans="1:6" x14ac:dyDescent="0.3">
      <c r="A116" t="str">
        <f t="shared" si="1"/>
        <v>3141416174</v>
      </c>
      <c r="B116">
        <v>3</v>
      </c>
      <c r="C116">
        <v>4</v>
      </c>
      <c r="D116">
        <v>4</v>
      </c>
      <c r="E116">
        <v>6</v>
      </c>
      <c r="F116">
        <v>74</v>
      </c>
    </row>
    <row r="117" spans="1:6" x14ac:dyDescent="0.3">
      <c r="A117" t="str">
        <f t="shared" si="1"/>
        <v>41111117175</v>
      </c>
      <c r="B117">
        <v>4</v>
      </c>
      <c r="C117">
        <v>1</v>
      </c>
      <c r="D117">
        <v>1</v>
      </c>
      <c r="E117">
        <v>17</v>
      </c>
      <c r="F117">
        <v>75</v>
      </c>
    </row>
    <row r="118" spans="1:6" x14ac:dyDescent="0.3">
      <c r="A118" t="str">
        <f t="shared" si="1"/>
        <v>3141315175</v>
      </c>
      <c r="B118">
        <v>3</v>
      </c>
      <c r="C118">
        <v>4</v>
      </c>
      <c r="D118">
        <v>3</v>
      </c>
      <c r="E118">
        <v>5</v>
      </c>
      <c r="F118">
        <v>75</v>
      </c>
    </row>
    <row r="119" spans="1:6" x14ac:dyDescent="0.3">
      <c r="A119" t="str">
        <f t="shared" si="1"/>
        <v>11312124176</v>
      </c>
      <c r="B119">
        <v>1</v>
      </c>
      <c r="C119">
        <v>3</v>
      </c>
      <c r="D119">
        <v>2</v>
      </c>
      <c r="E119">
        <v>24</v>
      </c>
      <c r="F119">
        <v>76</v>
      </c>
    </row>
    <row r="120" spans="1:6" x14ac:dyDescent="0.3">
      <c r="A120" t="str">
        <f t="shared" si="1"/>
        <v>4141416176</v>
      </c>
      <c r="B120">
        <v>4</v>
      </c>
      <c r="C120">
        <v>4</v>
      </c>
      <c r="D120">
        <v>4</v>
      </c>
      <c r="E120">
        <v>6</v>
      </c>
      <c r="F120">
        <v>76</v>
      </c>
    </row>
    <row r="121" spans="1:6" x14ac:dyDescent="0.3">
      <c r="A121" t="str">
        <f t="shared" si="1"/>
        <v>11111117177</v>
      </c>
      <c r="B121">
        <v>1</v>
      </c>
      <c r="C121">
        <v>1</v>
      </c>
      <c r="D121">
        <v>1</v>
      </c>
      <c r="E121">
        <v>17</v>
      </c>
      <c r="F121">
        <v>77</v>
      </c>
    </row>
    <row r="122" spans="1:6" x14ac:dyDescent="0.3">
      <c r="A122" t="str">
        <f t="shared" si="1"/>
        <v>21212111177</v>
      </c>
      <c r="B122">
        <v>2</v>
      </c>
      <c r="C122">
        <v>2</v>
      </c>
      <c r="D122">
        <v>2</v>
      </c>
      <c r="E122">
        <v>11</v>
      </c>
      <c r="F122">
        <v>77</v>
      </c>
    </row>
    <row r="123" spans="1:6" x14ac:dyDescent="0.3">
      <c r="A123" t="str">
        <f t="shared" si="1"/>
        <v>21212115178</v>
      </c>
      <c r="B123">
        <v>2</v>
      </c>
      <c r="C123">
        <v>2</v>
      </c>
      <c r="D123">
        <v>2</v>
      </c>
      <c r="E123">
        <v>15</v>
      </c>
      <c r="F123">
        <v>78</v>
      </c>
    </row>
    <row r="124" spans="1:6" x14ac:dyDescent="0.3">
      <c r="A124" t="str">
        <f t="shared" si="1"/>
        <v>41111117178</v>
      </c>
      <c r="B124">
        <v>4</v>
      </c>
      <c r="C124">
        <v>1</v>
      </c>
      <c r="D124">
        <v>1</v>
      </c>
      <c r="E124">
        <v>17</v>
      </c>
      <c r="F124">
        <v>78</v>
      </c>
    </row>
    <row r="125" spans="1:6" x14ac:dyDescent="0.3">
      <c r="A125" t="str">
        <f t="shared" si="1"/>
        <v>1121212179</v>
      </c>
      <c r="B125">
        <v>1</v>
      </c>
      <c r="C125">
        <v>2</v>
      </c>
      <c r="D125">
        <v>2</v>
      </c>
      <c r="E125">
        <v>2</v>
      </c>
      <c r="F125">
        <v>79</v>
      </c>
    </row>
    <row r="126" spans="1:6" x14ac:dyDescent="0.3">
      <c r="A126" t="str">
        <f t="shared" si="1"/>
        <v>4141518179</v>
      </c>
      <c r="B126">
        <v>4</v>
      </c>
      <c r="C126">
        <v>4</v>
      </c>
      <c r="D126">
        <v>5</v>
      </c>
      <c r="E126">
        <v>8</v>
      </c>
      <c r="F126">
        <v>79</v>
      </c>
    </row>
    <row r="127" spans="1:6" x14ac:dyDescent="0.3">
      <c r="A127" t="str">
        <f t="shared" si="1"/>
        <v>41118121180</v>
      </c>
      <c r="B127">
        <v>4</v>
      </c>
      <c r="C127">
        <v>1</v>
      </c>
      <c r="D127">
        <v>8</v>
      </c>
      <c r="E127">
        <v>21</v>
      </c>
      <c r="F127">
        <v>80</v>
      </c>
    </row>
    <row r="128" spans="1:6" x14ac:dyDescent="0.3">
      <c r="A128" t="str">
        <f t="shared" si="1"/>
        <v>1121212181</v>
      </c>
      <c r="B128">
        <v>1</v>
      </c>
      <c r="C128">
        <v>2</v>
      </c>
      <c r="D128">
        <v>2</v>
      </c>
      <c r="E128">
        <v>2</v>
      </c>
      <c r="F128">
        <v>81</v>
      </c>
    </row>
    <row r="129" spans="1:6" x14ac:dyDescent="0.3">
      <c r="A129" t="str">
        <f t="shared" si="1"/>
        <v>11212118181</v>
      </c>
      <c r="B129">
        <v>1</v>
      </c>
      <c r="C129">
        <v>2</v>
      </c>
      <c r="D129">
        <v>2</v>
      </c>
      <c r="E129">
        <v>18</v>
      </c>
      <c r="F129">
        <v>81</v>
      </c>
    </row>
    <row r="130" spans="1:6" x14ac:dyDescent="0.3">
      <c r="A130" t="str">
        <f t="shared" si="1"/>
        <v>4141518182</v>
      </c>
      <c r="B130">
        <v>4</v>
      </c>
      <c r="C130">
        <v>4</v>
      </c>
      <c r="D130">
        <v>5</v>
      </c>
      <c r="E130">
        <v>8</v>
      </c>
      <c r="F130">
        <v>82</v>
      </c>
    </row>
    <row r="131" spans="1:6" x14ac:dyDescent="0.3">
      <c r="A131" t="str">
        <f t="shared" ref="A131:A194" si="2">B131&amp;"1"&amp;C131&amp;"1"&amp;D131&amp;"1"&amp;E131&amp;"1"&amp;F131</f>
        <v>1121212183</v>
      </c>
      <c r="B131">
        <v>1</v>
      </c>
      <c r="C131">
        <v>2</v>
      </c>
      <c r="D131">
        <v>2</v>
      </c>
      <c r="E131">
        <v>2</v>
      </c>
      <c r="F131">
        <v>83</v>
      </c>
    </row>
    <row r="132" spans="1:6" x14ac:dyDescent="0.3">
      <c r="A132" t="str">
        <f t="shared" si="2"/>
        <v>1131213183</v>
      </c>
      <c r="B132">
        <v>1</v>
      </c>
      <c r="C132">
        <v>3</v>
      </c>
      <c r="D132">
        <v>2</v>
      </c>
      <c r="E132">
        <v>3</v>
      </c>
      <c r="F132">
        <v>83</v>
      </c>
    </row>
    <row r="133" spans="1:6" x14ac:dyDescent="0.3">
      <c r="A133" t="str">
        <f t="shared" si="2"/>
        <v>21212111184</v>
      </c>
      <c r="B133">
        <v>2</v>
      </c>
      <c r="C133">
        <v>2</v>
      </c>
      <c r="D133">
        <v>2</v>
      </c>
      <c r="E133">
        <v>11</v>
      </c>
      <c r="F133">
        <v>84</v>
      </c>
    </row>
    <row r="134" spans="1:6" x14ac:dyDescent="0.3">
      <c r="A134" t="str">
        <f t="shared" si="2"/>
        <v>3141415185</v>
      </c>
      <c r="B134">
        <v>3</v>
      </c>
      <c r="C134">
        <v>4</v>
      </c>
      <c r="D134">
        <v>4</v>
      </c>
      <c r="E134">
        <v>5</v>
      </c>
      <c r="F134">
        <v>85</v>
      </c>
    </row>
    <row r="135" spans="1:6" x14ac:dyDescent="0.3">
      <c r="A135" t="str">
        <f t="shared" si="2"/>
        <v>11111127185</v>
      </c>
      <c r="B135">
        <v>1</v>
      </c>
      <c r="C135">
        <v>1</v>
      </c>
      <c r="D135">
        <v>1</v>
      </c>
      <c r="E135">
        <v>27</v>
      </c>
      <c r="F135">
        <v>85</v>
      </c>
    </row>
    <row r="136" spans="1:6" x14ac:dyDescent="0.3">
      <c r="A136" t="str">
        <f t="shared" si="2"/>
        <v>11312128186</v>
      </c>
      <c r="B136">
        <v>1</v>
      </c>
      <c r="C136">
        <v>3</v>
      </c>
      <c r="D136">
        <v>2</v>
      </c>
      <c r="E136">
        <v>28</v>
      </c>
      <c r="F136">
        <v>86</v>
      </c>
    </row>
    <row r="137" spans="1:6" x14ac:dyDescent="0.3">
      <c r="A137" t="str">
        <f t="shared" si="2"/>
        <v>41415129186</v>
      </c>
      <c r="B137">
        <v>4</v>
      </c>
      <c r="C137">
        <v>4</v>
      </c>
      <c r="D137">
        <v>5</v>
      </c>
      <c r="E137">
        <v>29</v>
      </c>
      <c r="F137">
        <v>86</v>
      </c>
    </row>
    <row r="138" spans="1:6" x14ac:dyDescent="0.3">
      <c r="A138" t="str">
        <f t="shared" si="2"/>
        <v>1121212187</v>
      </c>
      <c r="B138">
        <v>1</v>
      </c>
      <c r="C138">
        <v>2</v>
      </c>
      <c r="D138">
        <v>2</v>
      </c>
      <c r="E138">
        <v>2</v>
      </c>
      <c r="F138">
        <v>87</v>
      </c>
    </row>
    <row r="139" spans="1:6" x14ac:dyDescent="0.3">
      <c r="A139" t="str">
        <f t="shared" si="2"/>
        <v>1131213187</v>
      </c>
      <c r="B139">
        <v>1</v>
      </c>
      <c r="C139">
        <v>3</v>
      </c>
      <c r="D139">
        <v>2</v>
      </c>
      <c r="E139">
        <v>3</v>
      </c>
      <c r="F139">
        <v>87</v>
      </c>
    </row>
    <row r="140" spans="1:6" x14ac:dyDescent="0.3">
      <c r="A140" t="str">
        <f t="shared" si="2"/>
        <v>5141315188</v>
      </c>
      <c r="B140">
        <v>5</v>
      </c>
      <c r="C140">
        <v>4</v>
      </c>
      <c r="D140">
        <v>3</v>
      </c>
      <c r="E140">
        <v>5</v>
      </c>
      <c r="F140">
        <v>88</v>
      </c>
    </row>
    <row r="141" spans="1:6" x14ac:dyDescent="0.3">
      <c r="A141" t="str">
        <f t="shared" si="2"/>
        <v>21212115189</v>
      </c>
      <c r="B141">
        <v>2</v>
      </c>
      <c r="C141">
        <v>2</v>
      </c>
      <c r="D141">
        <v>2</v>
      </c>
      <c r="E141">
        <v>15</v>
      </c>
      <c r="F141">
        <v>89</v>
      </c>
    </row>
    <row r="142" spans="1:6" x14ac:dyDescent="0.3">
      <c r="A142" t="str">
        <f t="shared" si="2"/>
        <v>21617125189</v>
      </c>
      <c r="B142">
        <v>2</v>
      </c>
      <c r="C142">
        <v>6</v>
      </c>
      <c r="D142">
        <v>7</v>
      </c>
      <c r="E142">
        <v>25</v>
      </c>
      <c r="F142">
        <v>89</v>
      </c>
    </row>
    <row r="143" spans="1:6" x14ac:dyDescent="0.3">
      <c r="A143" t="str">
        <f t="shared" si="2"/>
        <v>11312130190</v>
      </c>
      <c r="B143">
        <v>1</v>
      </c>
      <c r="C143">
        <v>3</v>
      </c>
      <c r="D143">
        <v>2</v>
      </c>
      <c r="E143">
        <v>30</v>
      </c>
      <c r="F143">
        <v>90</v>
      </c>
    </row>
    <row r="144" spans="1:6" x14ac:dyDescent="0.3">
      <c r="A144" t="str">
        <f t="shared" si="2"/>
        <v>4141518190</v>
      </c>
      <c r="B144">
        <v>4</v>
      </c>
      <c r="C144">
        <v>4</v>
      </c>
      <c r="D144">
        <v>5</v>
      </c>
      <c r="E144">
        <v>8</v>
      </c>
      <c r="F144">
        <v>90</v>
      </c>
    </row>
    <row r="145" spans="1:6" x14ac:dyDescent="0.3">
      <c r="A145" t="str">
        <f t="shared" si="2"/>
        <v>5141315191</v>
      </c>
      <c r="B145">
        <v>5</v>
      </c>
      <c r="C145">
        <v>4</v>
      </c>
      <c r="D145">
        <v>3</v>
      </c>
      <c r="E145">
        <v>5</v>
      </c>
      <c r="F145">
        <v>91</v>
      </c>
    </row>
    <row r="146" spans="1:6" x14ac:dyDescent="0.3">
      <c r="A146" t="str">
        <f t="shared" si="2"/>
        <v>21617113192</v>
      </c>
      <c r="B146">
        <v>2</v>
      </c>
      <c r="C146">
        <v>6</v>
      </c>
      <c r="D146">
        <v>7</v>
      </c>
      <c r="E146">
        <v>13</v>
      </c>
      <c r="F146">
        <v>92</v>
      </c>
    </row>
    <row r="147" spans="1:6" x14ac:dyDescent="0.3">
      <c r="A147" t="str">
        <f t="shared" si="2"/>
        <v>3141416192</v>
      </c>
      <c r="B147">
        <v>3</v>
      </c>
      <c r="C147">
        <v>4</v>
      </c>
      <c r="D147">
        <v>4</v>
      </c>
      <c r="E147">
        <v>6</v>
      </c>
      <c r="F147">
        <v>92</v>
      </c>
    </row>
    <row r="148" spans="1:6" x14ac:dyDescent="0.3">
      <c r="A148" t="str">
        <f t="shared" si="2"/>
        <v>3141416193</v>
      </c>
      <c r="B148">
        <v>3</v>
      </c>
      <c r="C148">
        <v>4</v>
      </c>
      <c r="D148">
        <v>4</v>
      </c>
      <c r="E148">
        <v>6</v>
      </c>
      <c r="F148">
        <v>93</v>
      </c>
    </row>
    <row r="149" spans="1:6" x14ac:dyDescent="0.3">
      <c r="A149" t="str">
        <f t="shared" si="2"/>
        <v>11111131194</v>
      </c>
      <c r="B149">
        <v>1</v>
      </c>
      <c r="C149">
        <v>1</v>
      </c>
      <c r="D149">
        <v>1</v>
      </c>
      <c r="E149">
        <v>31</v>
      </c>
      <c r="F149">
        <v>94</v>
      </c>
    </row>
    <row r="150" spans="1:6" x14ac:dyDescent="0.3">
      <c r="A150" t="str">
        <f t="shared" si="2"/>
        <v>11312124194</v>
      </c>
      <c r="B150">
        <v>1</v>
      </c>
      <c r="C150">
        <v>3</v>
      </c>
      <c r="D150">
        <v>2</v>
      </c>
      <c r="E150">
        <v>24</v>
      </c>
      <c r="F150">
        <v>94</v>
      </c>
    </row>
    <row r="151" spans="1:6" x14ac:dyDescent="0.3">
      <c r="A151" t="str">
        <f t="shared" si="2"/>
        <v>41515112195</v>
      </c>
      <c r="B151">
        <v>4</v>
      </c>
      <c r="C151">
        <v>5</v>
      </c>
      <c r="D151">
        <v>5</v>
      </c>
      <c r="E151">
        <v>12</v>
      </c>
      <c r="F151">
        <v>95</v>
      </c>
    </row>
    <row r="152" spans="1:6" x14ac:dyDescent="0.3">
      <c r="A152" t="str">
        <f t="shared" si="2"/>
        <v>4141518196</v>
      </c>
      <c r="B152">
        <v>4</v>
      </c>
      <c r="C152">
        <v>4</v>
      </c>
      <c r="D152">
        <v>5</v>
      </c>
      <c r="E152">
        <v>8</v>
      </c>
      <c r="F152">
        <v>96</v>
      </c>
    </row>
    <row r="153" spans="1:6" x14ac:dyDescent="0.3">
      <c r="A153" t="str">
        <f t="shared" si="2"/>
        <v>4141416196</v>
      </c>
      <c r="B153">
        <v>4</v>
      </c>
      <c r="C153">
        <v>4</v>
      </c>
      <c r="D153">
        <v>4</v>
      </c>
      <c r="E153">
        <v>6</v>
      </c>
      <c r="F153">
        <v>96</v>
      </c>
    </row>
    <row r="154" spans="1:6" x14ac:dyDescent="0.3">
      <c r="A154" t="str">
        <f t="shared" si="2"/>
        <v>21212115197</v>
      </c>
      <c r="B154">
        <v>2</v>
      </c>
      <c r="C154">
        <v>2</v>
      </c>
      <c r="D154">
        <v>2</v>
      </c>
      <c r="E154">
        <v>15</v>
      </c>
      <c r="F154">
        <v>97</v>
      </c>
    </row>
    <row r="155" spans="1:6" x14ac:dyDescent="0.3">
      <c r="A155" t="str">
        <f t="shared" si="2"/>
        <v>1131119198</v>
      </c>
      <c r="B155">
        <v>1</v>
      </c>
      <c r="C155">
        <v>3</v>
      </c>
      <c r="D155">
        <v>1</v>
      </c>
      <c r="E155">
        <v>9</v>
      </c>
      <c r="F155">
        <v>98</v>
      </c>
    </row>
    <row r="156" spans="1:6" x14ac:dyDescent="0.3">
      <c r="A156" t="str">
        <f t="shared" si="2"/>
        <v>11312124198</v>
      </c>
      <c r="B156">
        <v>1</v>
      </c>
      <c r="C156">
        <v>3</v>
      </c>
      <c r="D156">
        <v>2</v>
      </c>
      <c r="E156">
        <v>24</v>
      </c>
      <c r="F156">
        <v>98</v>
      </c>
    </row>
    <row r="157" spans="1:6" x14ac:dyDescent="0.3">
      <c r="A157" t="str">
        <f t="shared" si="2"/>
        <v>41415132199</v>
      </c>
      <c r="B157">
        <v>4</v>
      </c>
      <c r="C157">
        <v>4</v>
      </c>
      <c r="D157">
        <v>5</v>
      </c>
      <c r="E157">
        <v>32</v>
      </c>
      <c r="F157">
        <v>99</v>
      </c>
    </row>
    <row r="158" spans="1:6" x14ac:dyDescent="0.3">
      <c r="A158" t="str">
        <f t="shared" si="2"/>
        <v>4141516199</v>
      </c>
      <c r="B158">
        <v>4</v>
      </c>
      <c r="C158">
        <v>4</v>
      </c>
      <c r="D158">
        <v>5</v>
      </c>
      <c r="E158">
        <v>6</v>
      </c>
      <c r="F158">
        <v>99</v>
      </c>
    </row>
    <row r="159" spans="1:6" x14ac:dyDescent="0.3">
      <c r="A159" t="str">
        <f t="shared" si="2"/>
        <v>113121281100</v>
      </c>
      <c r="B159">
        <v>1</v>
      </c>
      <c r="C159">
        <v>3</v>
      </c>
      <c r="D159">
        <v>2</v>
      </c>
      <c r="E159">
        <v>28</v>
      </c>
      <c r="F159">
        <v>100</v>
      </c>
    </row>
    <row r="160" spans="1:6" x14ac:dyDescent="0.3">
      <c r="A160" t="str">
        <f t="shared" si="2"/>
        <v>414151291100</v>
      </c>
      <c r="B160">
        <v>4</v>
      </c>
      <c r="C160">
        <v>4</v>
      </c>
      <c r="D160">
        <v>5</v>
      </c>
      <c r="E160">
        <v>29</v>
      </c>
      <c r="F160">
        <v>100</v>
      </c>
    </row>
    <row r="161" spans="1:6" x14ac:dyDescent="0.3">
      <c r="A161" t="str">
        <f t="shared" si="2"/>
        <v>11212121101</v>
      </c>
      <c r="B161">
        <v>1</v>
      </c>
      <c r="C161">
        <v>2</v>
      </c>
      <c r="D161">
        <v>2</v>
      </c>
      <c r="E161">
        <v>2</v>
      </c>
      <c r="F161">
        <v>101</v>
      </c>
    </row>
    <row r="162" spans="1:6" x14ac:dyDescent="0.3">
      <c r="A162" t="str">
        <f t="shared" si="2"/>
        <v>212121111101</v>
      </c>
      <c r="B162">
        <v>2</v>
      </c>
      <c r="C162">
        <v>2</v>
      </c>
      <c r="D162">
        <v>2</v>
      </c>
      <c r="E162">
        <v>11</v>
      </c>
      <c r="F162">
        <v>101</v>
      </c>
    </row>
    <row r="163" spans="1:6" x14ac:dyDescent="0.3">
      <c r="A163" t="str">
        <f t="shared" si="2"/>
        <v>11212121102</v>
      </c>
      <c r="B163">
        <v>1</v>
      </c>
      <c r="C163">
        <v>2</v>
      </c>
      <c r="D163">
        <v>2</v>
      </c>
      <c r="E163">
        <v>2</v>
      </c>
      <c r="F163">
        <v>102</v>
      </c>
    </row>
    <row r="164" spans="1:6" x14ac:dyDescent="0.3">
      <c r="A164" t="str">
        <f t="shared" si="2"/>
        <v>11316191102</v>
      </c>
      <c r="B164">
        <v>1</v>
      </c>
      <c r="C164">
        <v>3</v>
      </c>
      <c r="D164">
        <v>6</v>
      </c>
      <c r="E164">
        <v>9</v>
      </c>
      <c r="F164">
        <v>102</v>
      </c>
    </row>
    <row r="165" spans="1:6" x14ac:dyDescent="0.3">
      <c r="A165" t="str">
        <f t="shared" si="2"/>
        <v>212121151103</v>
      </c>
      <c r="B165">
        <v>2</v>
      </c>
      <c r="C165">
        <v>2</v>
      </c>
      <c r="D165">
        <v>2</v>
      </c>
      <c r="E165">
        <v>15</v>
      </c>
      <c r="F165">
        <v>103</v>
      </c>
    </row>
    <row r="166" spans="1:6" x14ac:dyDescent="0.3">
      <c r="A166" t="str">
        <f t="shared" si="2"/>
        <v>11212121103</v>
      </c>
      <c r="B166">
        <v>1</v>
      </c>
      <c r="C166">
        <v>2</v>
      </c>
      <c r="D166">
        <v>2</v>
      </c>
      <c r="E166">
        <v>2</v>
      </c>
      <c r="F166">
        <v>103</v>
      </c>
    </row>
    <row r="167" spans="1:6" x14ac:dyDescent="0.3">
      <c r="A167" t="str">
        <f t="shared" si="2"/>
        <v>31413151103</v>
      </c>
      <c r="B167">
        <v>3</v>
      </c>
      <c r="C167">
        <v>4</v>
      </c>
      <c r="D167">
        <v>3</v>
      </c>
      <c r="E167">
        <v>5</v>
      </c>
      <c r="F167">
        <v>103</v>
      </c>
    </row>
    <row r="168" spans="1:6" x14ac:dyDescent="0.3">
      <c r="A168" t="str">
        <f t="shared" si="2"/>
        <v>11312131104</v>
      </c>
      <c r="B168">
        <v>1</v>
      </c>
      <c r="C168">
        <v>3</v>
      </c>
      <c r="D168">
        <v>2</v>
      </c>
      <c r="E168">
        <v>3</v>
      </c>
      <c r="F168">
        <v>104</v>
      </c>
    </row>
    <row r="169" spans="1:6" x14ac:dyDescent="0.3">
      <c r="A169" t="str">
        <f t="shared" si="2"/>
        <v>41414161104</v>
      </c>
      <c r="B169">
        <v>4</v>
      </c>
      <c r="C169">
        <v>4</v>
      </c>
      <c r="D169">
        <v>4</v>
      </c>
      <c r="E169">
        <v>6</v>
      </c>
      <c r="F169">
        <v>104</v>
      </c>
    </row>
    <row r="170" spans="1:6" x14ac:dyDescent="0.3">
      <c r="A170" t="str">
        <f t="shared" si="2"/>
        <v>11212121105</v>
      </c>
      <c r="B170">
        <v>1</v>
      </c>
      <c r="C170">
        <v>2</v>
      </c>
      <c r="D170">
        <v>2</v>
      </c>
      <c r="E170">
        <v>2</v>
      </c>
      <c r="F170">
        <v>105</v>
      </c>
    </row>
    <row r="171" spans="1:6" x14ac:dyDescent="0.3">
      <c r="A171" t="str">
        <f t="shared" si="2"/>
        <v>11312131105</v>
      </c>
      <c r="B171">
        <v>1</v>
      </c>
      <c r="C171">
        <v>3</v>
      </c>
      <c r="D171">
        <v>2</v>
      </c>
      <c r="E171">
        <v>3</v>
      </c>
      <c r="F171">
        <v>105</v>
      </c>
    </row>
    <row r="172" spans="1:6" x14ac:dyDescent="0.3">
      <c r="A172" t="str">
        <f t="shared" si="2"/>
        <v>212121151106</v>
      </c>
      <c r="B172">
        <v>2</v>
      </c>
      <c r="C172">
        <v>2</v>
      </c>
      <c r="D172">
        <v>2</v>
      </c>
      <c r="E172">
        <v>15</v>
      </c>
      <c r="F172">
        <v>106</v>
      </c>
    </row>
    <row r="173" spans="1:6" x14ac:dyDescent="0.3">
      <c r="A173" t="str">
        <f t="shared" si="2"/>
        <v>51413151106</v>
      </c>
      <c r="B173">
        <v>5</v>
      </c>
      <c r="C173">
        <v>4</v>
      </c>
      <c r="D173">
        <v>3</v>
      </c>
      <c r="E173">
        <v>5</v>
      </c>
      <c r="F173">
        <v>106</v>
      </c>
    </row>
    <row r="174" spans="1:6" x14ac:dyDescent="0.3">
      <c r="A174" t="str">
        <f t="shared" si="2"/>
        <v>31414161107</v>
      </c>
      <c r="B174">
        <v>3</v>
      </c>
      <c r="C174">
        <v>4</v>
      </c>
      <c r="D174">
        <v>4</v>
      </c>
      <c r="E174">
        <v>6</v>
      </c>
      <c r="F174">
        <v>107</v>
      </c>
    </row>
    <row r="175" spans="1:6" x14ac:dyDescent="0.3">
      <c r="A175" t="str">
        <f t="shared" si="2"/>
        <v>113121241108</v>
      </c>
      <c r="B175">
        <v>1</v>
      </c>
      <c r="C175">
        <v>3</v>
      </c>
      <c r="D175">
        <v>2</v>
      </c>
      <c r="E175">
        <v>24</v>
      </c>
      <c r="F175">
        <v>108</v>
      </c>
    </row>
    <row r="176" spans="1:6" x14ac:dyDescent="0.3">
      <c r="A176" t="str">
        <f t="shared" si="2"/>
        <v>41414161108</v>
      </c>
      <c r="B176">
        <v>4</v>
      </c>
      <c r="C176">
        <v>4</v>
      </c>
      <c r="D176">
        <v>4</v>
      </c>
      <c r="E176">
        <v>6</v>
      </c>
      <c r="F176">
        <v>108</v>
      </c>
    </row>
    <row r="177" spans="1:6" x14ac:dyDescent="0.3">
      <c r="A177" t="str">
        <f t="shared" si="2"/>
        <v>212121111109</v>
      </c>
      <c r="B177">
        <v>2</v>
      </c>
      <c r="C177">
        <v>2</v>
      </c>
      <c r="D177">
        <v>2</v>
      </c>
      <c r="E177">
        <v>11</v>
      </c>
      <c r="F177">
        <v>109</v>
      </c>
    </row>
    <row r="178" spans="1:6" x14ac:dyDescent="0.3">
      <c r="A178" t="str">
        <f t="shared" si="2"/>
        <v>11312171110</v>
      </c>
      <c r="B178">
        <v>1</v>
      </c>
      <c r="C178">
        <v>3</v>
      </c>
      <c r="D178">
        <v>2</v>
      </c>
      <c r="E178">
        <v>7</v>
      </c>
      <c r="F178">
        <v>110</v>
      </c>
    </row>
    <row r="179" spans="1:6" x14ac:dyDescent="0.3">
      <c r="A179" t="str">
        <f t="shared" si="2"/>
        <v>41415181110</v>
      </c>
      <c r="B179">
        <v>4</v>
      </c>
      <c r="C179">
        <v>4</v>
      </c>
      <c r="D179">
        <v>5</v>
      </c>
      <c r="E179">
        <v>8</v>
      </c>
      <c r="F179">
        <v>110</v>
      </c>
    </row>
    <row r="180" spans="1:6" x14ac:dyDescent="0.3">
      <c r="A180" t="str">
        <f t="shared" si="2"/>
        <v>11316191111</v>
      </c>
      <c r="B180">
        <v>1</v>
      </c>
      <c r="C180">
        <v>3</v>
      </c>
      <c r="D180">
        <v>6</v>
      </c>
      <c r="E180">
        <v>9</v>
      </c>
      <c r="F180">
        <v>111</v>
      </c>
    </row>
    <row r="181" spans="1:6" x14ac:dyDescent="0.3">
      <c r="A181" t="str">
        <f t="shared" si="2"/>
        <v>113121241111</v>
      </c>
      <c r="B181">
        <v>1</v>
      </c>
      <c r="C181">
        <v>3</v>
      </c>
      <c r="D181">
        <v>2</v>
      </c>
      <c r="E181">
        <v>24</v>
      </c>
      <c r="F181">
        <v>111</v>
      </c>
    </row>
    <row r="182" spans="1:6" x14ac:dyDescent="0.3">
      <c r="A182" t="str">
        <f t="shared" si="2"/>
        <v>51413151112</v>
      </c>
      <c r="B182">
        <v>5</v>
      </c>
      <c r="C182">
        <v>4</v>
      </c>
      <c r="D182">
        <v>3</v>
      </c>
      <c r="E182">
        <v>5</v>
      </c>
      <c r="F182">
        <v>112</v>
      </c>
    </row>
    <row r="183" spans="1:6" x14ac:dyDescent="0.3">
      <c r="A183" t="str">
        <f t="shared" si="2"/>
        <v>31414161112</v>
      </c>
      <c r="B183">
        <v>3</v>
      </c>
      <c r="C183">
        <v>4</v>
      </c>
      <c r="D183">
        <v>4</v>
      </c>
      <c r="E183">
        <v>6</v>
      </c>
      <c r="F183">
        <v>112</v>
      </c>
    </row>
    <row r="184" spans="1:6" x14ac:dyDescent="0.3">
      <c r="A184" t="str">
        <f t="shared" si="2"/>
        <v>11312131113</v>
      </c>
      <c r="B184">
        <v>1</v>
      </c>
      <c r="C184">
        <v>3</v>
      </c>
      <c r="D184">
        <v>2</v>
      </c>
      <c r="E184">
        <v>3</v>
      </c>
      <c r="F184">
        <v>113</v>
      </c>
    </row>
    <row r="185" spans="1:6" x14ac:dyDescent="0.3">
      <c r="A185" t="str">
        <f t="shared" si="2"/>
        <v>113161241113</v>
      </c>
      <c r="B185">
        <v>1</v>
      </c>
      <c r="C185">
        <v>3</v>
      </c>
      <c r="D185">
        <v>6</v>
      </c>
      <c r="E185">
        <v>24</v>
      </c>
      <c r="F185">
        <v>113</v>
      </c>
    </row>
    <row r="186" spans="1:6" x14ac:dyDescent="0.3">
      <c r="A186" t="str">
        <f t="shared" si="2"/>
        <v>415181331114</v>
      </c>
      <c r="B186">
        <v>4</v>
      </c>
      <c r="C186">
        <v>5</v>
      </c>
      <c r="D186">
        <v>8</v>
      </c>
      <c r="E186">
        <v>33</v>
      </c>
      <c r="F186">
        <v>114</v>
      </c>
    </row>
    <row r="187" spans="1:6" x14ac:dyDescent="0.3">
      <c r="A187" t="str">
        <f t="shared" si="2"/>
        <v>216121191115</v>
      </c>
      <c r="B187">
        <v>2</v>
      </c>
      <c r="C187">
        <v>6</v>
      </c>
      <c r="D187">
        <v>2</v>
      </c>
      <c r="E187">
        <v>19</v>
      </c>
      <c r="F187">
        <v>115</v>
      </c>
    </row>
    <row r="188" spans="1:6" x14ac:dyDescent="0.3">
      <c r="A188" t="str">
        <f t="shared" si="2"/>
        <v>112121181116</v>
      </c>
      <c r="B188">
        <v>1</v>
      </c>
      <c r="C188">
        <v>2</v>
      </c>
      <c r="D188">
        <v>2</v>
      </c>
      <c r="E188">
        <v>18</v>
      </c>
      <c r="F188">
        <v>116</v>
      </c>
    </row>
    <row r="189" spans="1:6" x14ac:dyDescent="0.3">
      <c r="A189" t="str">
        <f t="shared" si="2"/>
        <v>216171191116</v>
      </c>
      <c r="B189">
        <v>2</v>
      </c>
      <c r="C189">
        <v>6</v>
      </c>
      <c r="D189">
        <v>7</v>
      </c>
      <c r="E189">
        <v>19</v>
      </c>
      <c r="F189">
        <v>116</v>
      </c>
    </row>
    <row r="190" spans="1:6" x14ac:dyDescent="0.3">
      <c r="A190" t="str">
        <f t="shared" si="2"/>
        <v>216171161117</v>
      </c>
      <c r="B190">
        <v>2</v>
      </c>
      <c r="C190">
        <v>6</v>
      </c>
      <c r="D190">
        <v>7</v>
      </c>
      <c r="E190">
        <v>16</v>
      </c>
      <c r="F190">
        <v>117</v>
      </c>
    </row>
    <row r="191" spans="1:6" x14ac:dyDescent="0.3">
      <c r="A191" t="str">
        <f t="shared" si="2"/>
        <v>212121181117</v>
      </c>
      <c r="B191">
        <v>2</v>
      </c>
      <c r="C191">
        <v>2</v>
      </c>
      <c r="D191">
        <v>2</v>
      </c>
      <c r="E191">
        <v>18</v>
      </c>
      <c r="F191">
        <v>117</v>
      </c>
    </row>
    <row r="192" spans="1:6" x14ac:dyDescent="0.3">
      <c r="A192" t="str">
        <f t="shared" si="2"/>
        <v>11212121118</v>
      </c>
      <c r="B192">
        <v>1</v>
      </c>
      <c r="C192">
        <v>2</v>
      </c>
      <c r="D192">
        <v>2</v>
      </c>
      <c r="E192">
        <v>2</v>
      </c>
      <c r="F192">
        <v>118</v>
      </c>
    </row>
    <row r="193" spans="1:6" x14ac:dyDescent="0.3">
      <c r="A193" t="str">
        <f t="shared" si="2"/>
        <v>212121111118</v>
      </c>
      <c r="B193">
        <v>2</v>
      </c>
      <c r="C193">
        <v>2</v>
      </c>
      <c r="D193">
        <v>2</v>
      </c>
      <c r="E193">
        <v>11</v>
      </c>
      <c r="F193">
        <v>118</v>
      </c>
    </row>
    <row r="194" spans="1:6" x14ac:dyDescent="0.3">
      <c r="A194" t="str">
        <f t="shared" si="2"/>
        <v>11212121119</v>
      </c>
      <c r="B194">
        <v>1</v>
      </c>
      <c r="C194">
        <v>2</v>
      </c>
      <c r="D194">
        <v>2</v>
      </c>
      <c r="E194">
        <v>2</v>
      </c>
      <c r="F194">
        <v>119</v>
      </c>
    </row>
    <row r="195" spans="1:6" x14ac:dyDescent="0.3">
      <c r="A195" t="str">
        <f t="shared" ref="A195:A258" si="3">B195&amp;"1"&amp;C195&amp;"1"&amp;D195&amp;"1"&amp;E195&amp;"1"&amp;F195</f>
        <v>212121111119</v>
      </c>
      <c r="B195">
        <v>2</v>
      </c>
      <c r="C195">
        <v>2</v>
      </c>
      <c r="D195">
        <v>2</v>
      </c>
      <c r="E195">
        <v>11</v>
      </c>
      <c r="F195">
        <v>119</v>
      </c>
    </row>
    <row r="196" spans="1:6" x14ac:dyDescent="0.3">
      <c r="A196" t="str">
        <f t="shared" si="3"/>
        <v>11212121120</v>
      </c>
      <c r="B196">
        <v>1</v>
      </c>
      <c r="C196">
        <v>2</v>
      </c>
      <c r="D196">
        <v>2</v>
      </c>
      <c r="E196">
        <v>2</v>
      </c>
      <c r="F196">
        <v>120</v>
      </c>
    </row>
    <row r="197" spans="1:6" x14ac:dyDescent="0.3">
      <c r="A197" t="str">
        <f t="shared" si="3"/>
        <v>212121111120</v>
      </c>
      <c r="B197">
        <v>2</v>
      </c>
      <c r="C197">
        <v>2</v>
      </c>
      <c r="D197">
        <v>2</v>
      </c>
      <c r="E197">
        <v>11</v>
      </c>
      <c r="F197">
        <v>120</v>
      </c>
    </row>
    <row r="198" spans="1:6" x14ac:dyDescent="0.3">
      <c r="A198" t="str">
        <f t="shared" si="3"/>
        <v>212121151121</v>
      </c>
      <c r="B198">
        <v>2</v>
      </c>
      <c r="C198">
        <v>2</v>
      </c>
      <c r="D198">
        <v>2</v>
      </c>
      <c r="E198">
        <v>15</v>
      </c>
      <c r="F198">
        <v>121</v>
      </c>
    </row>
    <row r="199" spans="1:6" x14ac:dyDescent="0.3">
      <c r="A199" t="str">
        <f t="shared" si="3"/>
        <v>51413151121</v>
      </c>
      <c r="B199">
        <v>5</v>
      </c>
      <c r="C199">
        <v>4</v>
      </c>
      <c r="D199">
        <v>3</v>
      </c>
      <c r="E199">
        <v>5</v>
      </c>
      <c r="F199">
        <v>121</v>
      </c>
    </row>
    <row r="200" spans="1:6" x14ac:dyDescent="0.3">
      <c r="A200" t="str">
        <f t="shared" si="3"/>
        <v>212121111122</v>
      </c>
      <c r="B200">
        <v>2</v>
      </c>
      <c r="C200">
        <v>2</v>
      </c>
      <c r="D200">
        <v>2</v>
      </c>
      <c r="E200">
        <v>11</v>
      </c>
      <c r="F200">
        <v>122</v>
      </c>
    </row>
    <row r="201" spans="1:6" x14ac:dyDescent="0.3">
      <c r="A201" t="str">
        <f t="shared" si="3"/>
        <v>216171221123</v>
      </c>
      <c r="B201">
        <v>2</v>
      </c>
      <c r="C201">
        <v>6</v>
      </c>
      <c r="D201">
        <v>7</v>
      </c>
      <c r="E201">
        <v>22</v>
      </c>
      <c r="F201">
        <v>123</v>
      </c>
    </row>
    <row r="202" spans="1:6" x14ac:dyDescent="0.3">
      <c r="A202" t="str">
        <f t="shared" si="3"/>
        <v>41415181124</v>
      </c>
      <c r="B202">
        <v>4</v>
      </c>
      <c r="C202">
        <v>4</v>
      </c>
      <c r="D202">
        <v>5</v>
      </c>
      <c r="E202">
        <v>8</v>
      </c>
      <c r="F202">
        <v>124</v>
      </c>
    </row>
    <row r="203" spans="1:6" x14ac:dyDescent="0.3">
      <c r="A203" t="str">
        <f t="shared" si="3"/>
        <v>41415181125</v>
      </c>
      <c r="B203">
        <v>4</v>
      </c>
      <c r="C203">
        <v>4</v>
      </c>
      <c r="D203">
        <v>5</v>
      </c>
      <c r="E203">
        <v>8</v>
      </c>
      <c r="F203">
        <v>125</v>
      </c>
    </row>
    <row r="204" spans="1:6" x14ac:dyDescent="0.3">
      <c r="A204" t="str">
        <f t="shared" si="3"/>
        <v>11316191126</v>
      </c>
      <c r="B204">
        <v>1</v>
      </c>
      <c r="C204">
        <v>3</v>
      </c>
      <c r="D204">
        <v>6</v>
      </c>
      <c r="E204">
        <v>9</v>
      </c>
      <c r="F204">
        <v>126</v>
      </c>
    </row>
    <row r="205" spans="1:6" x14ac:dyDescent="0.3">
      <c r="A205" t="str">
        <f t="shared" si="3"/>
        <v>113121241126</v>
      </c>
      <c r="B205">
        <v>1</v>
      </c>
      <c r="C205">
        <v>3</v>
      </c>
      <c r="D205">
        <v>2</v>
      </c>
      <c r="E205">
        <v>24</v>
      </c>
      <c r="F205">
        <v>126</v>
      </c>
    </row>
    <row r="206" spans="1:6" x14ac:dyDescent="0.3">
      <c r="A206" t="str">
        <f t="shared" si="3"/>
        <v>216171191127</v>
      </c>
      <c r="B206">
        <v>2</v>
      </c>
      <c r="C206">
        <v>6</v>
      </c>
      <c r="D206">
        <v>7</v>
      </c>
      <c r="E206">
        <v>19</v>
      </c>
      <c r="F206">
        <v>127</v>
      </c>
    </row>
    <row r="207" spans="1:6" x14ac:dyDescent="0.3">
      <c r="A207" t="str">
        <f t="shared" si="3"/>
        <v>411111171128</v>
      </c>
      <c r="B207">
        <v>4</v>
      </c>
      <c r="C207">
        <v>1</v>
      </c>
      <c r="D207">
        <v>1</v>
      </c>
      <c r="E207">
        <v>17</v>
      </c>
      <c r="F207">
        <v>128</v>
      </c>
    </row>
    <row r="208" spans="1:6" x14ac:dyDescent="0.3">
      <c r="A208" t="str">
        <f t="shared" si="3"/>
        <v>212121111128</v>
      </c>
      <c r="B208">
        <v>2</v>
      </c>
      <c r="C208">
        <v>2</v>
      </c>
      <c r="D208">
        <v>2</v>
      </c>
      <c r="E208">
        <v>11</v>
      </c>
      <c r="F208">
        <v>128</v>
      </c>
    </row>
    <row r="209" spans="1:6" x14ac:dyDescent="0.3">
      <c r="A209" t="str">
        <f t="shared" si="3"/>
        <v>111111141129</v>
      </c>
      <c r="B209">
        <v>1</v>
      </c>
      <c r="C209">
        <v>1</v>
      </c>
      <c r="D209">
        <v>1</v>
      </c>
      <c r="E209">
        <v>14</v>
      </c>
      <c r="F209">
        <v>129</v>
      </c>
    </row>
    <row r="210" spans="1:6" x14ac:dyDescent="0.3">
      <c r="A210" t="str">
        <f t="shared" si="3"/>
        <v>31414151129</v>
      </c>
      <c r="B210">
        <v>3</v>
      </c>
      <c r="C210">
        <v>4</v>
      </c>
      <c r="D210">
        <v>4</v>
      </c>
      <c r="E210">
        <v>5</v>
      </c>
      <c r="F210">
        <v>129</v>
      </c>
    </row>
    <row r="211" spans="1:6" x14ac:dyDescent="0.3">
      <c r="A211" t="str">
        <f t="shared" si="3"/>
        <v>112121231130</v>
      </c>
      <c r="B211">
        <v>1</v>
      </c>
      <c r="C211">
        <v>2</v>
      </c>
      <c r="D211">
        <v>2</v>
      </c>
      <c r="E211">
        <v>23</v>
      </c>
      <c r="F211">
        <v>130</v>
      </c>
    </row>
    <row r="212" spans="1:6" x14ac:dyDescent="0.3">
      <c r="A212" t="str">
        <f t="shared" si="3"/>
        <v>415151201130</v>
      </c>
      <c r="B212">
        <v>4</v>
      </c>
      <c r="C212">
        <v>5</v>
      </c>
      <c r="D212">
        <v>5</v>
      </c>
      <c r="E212">
        <v>20</v>
      </c>
      <c r="F212">
        <v>130</v>
      </c>
    </row>
    <row r="213" spans="1:6" x14ac:dyDescent="0.3">
      <c r="A213" t="str">
        <f t="shared" si="3"/>
        <v>11312131131</v>
      </c>
      <c r="B213">
        <v>1</v>
      </c>
      <c r="C213">
        <v>3</v>
      </c>
      <c r="D213">
        <v>2</v>
      </c>
      <c r="E213">
        <v>3</v>
      </c>
      <c r="F213">
        <v>131</v>
      </c>
    </row>
    <row r="214" spans="1:6" x14ac:dyDescent="0.3">
      <c r="A214" t="str">
        <f t="shared" si="3"/>
        <v>113121241131</v>
      </c>
      <c r="B214">
        <v>1</v>
      </c>
      <c r="C214">
        <v>3</v>
      </c>
      <c r="D214">
        <v>2</v>
      </c>
      <c r="E214">
        <v>24</v>
      </c>
      <c r="F214">
        <v>131</v>
      </c>
    </row>
    <row r="215" spans="1:6" x14ac:dyDescent="0.3">
      <c r="A215" t="str">
        <f t="shared" si="3"/>
        <v>212121151132</v>
      </c>
      <c r="B215">
        <v>2</v>
      </c>
      <c r="C215">
        <v>2</v>
      </c>
      <c r="D215">
        <v>2</v>
      </c>
      <c r="E215">
        <v>15</v>
      </c>
      <c r="F215">
        <v>132</v>
      </c>
    </row>
    <row r="216" spans="1:6" x14ac:dyDescent="0.3">
      <c r="A216" t="str">
        <f t="shared" si="3"/>
        <v>411181211132</v>
      </c>
      <c r="B216">
        <v>4</v>
      </c>
      <c r="C216">
        <v>1</v>
      </c>
      <c r="D216">
        <v>8</v>
      </c>
      <c r="E216">
        <v>21</v>
      </c>
      <c r="F216">
        <v>132</v>
      </c>
    </row>
    <row r="217" spans="1:6" x14ac:dyDescent="0.3">
      <c r="A217" t="str">
        <f t="shared" si="3"/>
        <v>212121151133</v>
      </c>
      <c r="B217">
        <v>2</v>
      </c>
      <c r="C217">
        <v>2</v>
      </c>
      <c r="D217">
        <v>2</v>
      </c>
      <c r="E217">
        <v>15</v>
      </c>
      <c r="F217">
        <v>133</v>
      </c>
    </row>
    <row r="218" spans="1:6" x14ac:dyDescent="0.3">
      <c r="A218" t="str">
        <f t="shared" si="3"/>
        <v>51413151133</v>
      </c>
      <c r="B218">
        <v>5</v>
      </c>
      <c r="C218">
        <v>4</v>
      </c>
      <c r="D218">
        <v>3</v>
      </c>
      <c r="E218">
        <v>5</v>
      </c>
      <c r="F218">
        <v>133</v>
      </c>
    </row>
    <row r="219" spans="1:6" x14ac:dyDescent="0.3">
      <c r="A219" t="str">
        <f t="shared" si="3"/>
        <v>113161241134</v>
      </c>
      <c r="B219">
        <v>1</v>
      </c>
      <c r="C219">
        <v>3</v>
      </c>
      <c r="D219">
        <v>6</v>
      </c>
      <c r="E219">
        <v>24</v>
      </c>
      <c r="F219">
        <v>134</v>
      </c>
    </row>
    <row r="220" spans="1:6" x14ac:dyDescent="0.3">
      <c r="A220" t="str">
        <f t="shared" si="3"/>
        <v>31414161134</v>
      </c>
      <c r="B220">
        <v>3</v>
      </c>
      <c r="C220">
        <v>4</v>
      </c>
      <c r="D220">
        <v>4</v>
      </c>
      <c r="E220">
        <v>6</v>
      </c>
      <c r="F220">
        <v>134</v>
      </c>
    </row>
    <row r="221" spans="1:6" x14ac:dyDescent="0.3">
      <c r="A221" t="str">
        <f t="shared" si="3"/>
        <v>11312171135</v>
      </c>
      <c r="B221">
        <v>1</v>
      </c>
      <c r="C221">
        <v>3</v>
      </c>
      <c r="D221">
        <v>2</v>
      </c>
      <c r="E221">
        <v>7</v>
      </c>
      <c r="F221">
        <v>135</v>
      </c>
    </row>
    <row r="222" spans="1:6" x14ac:dyDescent="0.3">
      <c r="A222" t="str">
        <f t="shared" si="3"/>
        <v>112121231135</v>
      </c>
      <c r="B222">
        <v>1</v>
      </c>
      <c r="C222">
        <v>2</v>
      </c>
      <c r="D222">
        <v>2</v>
      </c>
      <c r="E222">
        <v>23</v>
      </c>
      <c r="F222">
        <v>135</v>
      </c>
    </row>
    <row r="223" spans="1:6" x14ac:dyDescent="0.3">
      <c r="A223" t="str">
        <f t="shared" si="3"/>
        <v>212121151136</v>
      </c>
      <c r="B223">
        <v>2</v>
      </c>
      <c r="C223">
        <v>2</v>
      </c>
      <c r="D223">
        <v>2</v>
      </c>
      <c r="E223">
        <v>15</v>
      </c>
      <c r="F223">
        <v>136</v>
      </c>
    </row>
    <row r="224" spans="1:6" x14ac:dyDescent="0.3">
      <c r="A224" t="str">
        <f t="shared" si="3"/>
        <v>216171131136</v>
      </c>
      <c r="B224">
        <v>2</v>
      </c>
      <c r="C224">
        <v>6</v>
      </c>
      <c r="D224">
        <v>7</v>
      </c>
      <c r="E224">
        <v>13</v>
      </c>
      <c r="F224">
        <v>136</v>
      </c>
    </row>
    <row r="225" spans="1:6" x14ac:dyDescent="0.3">
      <c r="A225" t="str">
        <f t="shared" si="3"/>
        <v>216171161137</v>
      </c>
      <c r="B225">
        <v>2</v>
      </c>
      <c r="C225">
        <v>6</v>
      </c>
      <c r="D225">
        <v>7</v>
      </c>
      <c r="E225">
        <v>16</v>
      </c>
      <c r="F225">
        <v>137</v>
      </c>
    </row>
    <row r="226" spans="1:6" x14ac:dyDescent="0.3">
      <c r="A226" t="str">
        <f t="shared" si="3"/>
        <v>112121231137</v>
      </c>
      <c r="B226">
        <v>1</v>
      </c>
      <c r="C226">
        <v>2</v>
      </c>
      <c r="D226">
        <v>2</v>
      </c>
      <c r="E226">
        <v>23</v>
      </c>
      <c r="F226">
        <v>137</v>
      </c>
    </row>
    <row r="227" spans="1:6" x14ac:dyDescent="0.3">
      <c r="A227" t="str">
        <f t="shared" si="3"/>
        <v>212121151138</v>
      </c>
      <c r="B227">
        <v>2</v>
      </c>
      <c r="C227">
        <v>2</v>
      </c>
      <c r="D227">
        <v>2</v>
      </c>
      <c r="E227">
        <v>15</v>
      </c>
      <c r="F227">
        <v>138</v>
      </c>
    </row>
    <row r="228" spans="1:6" x14ac:dyDescent="0.3">
      <c r="A228" t="str">
        <f t="shared" si="3"/>
        <v>216171161138</v>
      </c>
      <c r="B228">
        <v>2</v>
      </c>
      <c r="C228">
        <v>6</v>
      </c>
      <c r="D228">
        <v>7</v>
      </c>
      <c r="E228">
        <v>16</v>
      </c>
      <c r="F228">
        <v>138</v>
      </c>
    </row>
    <row r="229" spans="1:6" x14ac:dyDescent="0.3">
      <c r="A229" t="str">
        <f t="shared" si="3"/>
        <v>111111171139</v>
      </c>
      <c r="B229">
        <v>1</v>
      </c>
      <c r="C229">
        <v>1</v>
      </c>
      <c r="D229">
        <v>1</v>
      </c>
      <c r="E229">
        <v>17</v>
      </c>
      <c r="F229">
        <v>139</v>
      </c>
    </row>
    <row r="230" spans="1:6" x14ac:dyDescent="0.3">
      <c r="A230" t="str">
        <f t="shared" si="3"/>
        <v>31414151139</v>
      </c>
      <c r="B230">
        <v>3</v>
      </c>
      <c r="C230">
        <v>4</v>
      </c>
      <c r="D230">
        <v>4</v>
      </c>
      <c r="E230">
        <v>5</v>
      </c>
      <c r="F230">
        <v>139</v>
      </c>
    </row>
    <row r="231" spans="1:6" x14ac:dyDescent="0.3">
      <c r="A231" t="str">
        <f t="shared" si="3"/>
        <v>113121241140</v>
      </c>
      <c r="B231">
        <v>1</v>
      </c>
      <c r="C231">
        <v>3</v>
      </c>
      <c r="D231">
        <v>2</v>
      </c>
      <c r="E231">
        <v>24</v>
      </c>
      <c r="F231">
        <v>140</v>
      </c>
    </row>
    <row r="232" spans="1:6" x14ac:dyDescent="0.3">
      <c r="A232" t="str">
        <f t="shared" si="3"/>
        <v>216171161141</v>
      </c>
      <c r="B232">
        <v>2</v>
      </c>
      <c r="C232">
        <v>6</v>
      </c>
      <c r="D232">
        <v>7</v>
      </c>
      <c r="E232">
        <v>16</v>
      </c>
      <c r="F232">
        <v>141</v>
      </c>
    </row>
    <row r="233" spans="1:6" x14ac:dyDescent="0.3">
      <c r="A233" t="str">
        <f t="shared" si="3"/>
        <v>31414151142</v>
      </c>
      <c r="B233">
        <v>3</v>
      </c>
      <c r="C233">
        <v>4</v>
      </c>
      <c r="D233">
        <v>4</v>
      </c>
      <c r="E233">
        <v>5</v>
      </c>
      <c r="F233">
        <v>142</v>
      </c>
    </row>
    <row r="234" spans="1:6" x14ac:dyDescent="0.3">
      <c r="A234" t="str">
        <f t="shared" si="3"/>
        <v>11212121143</v>
      </c>
      <c r="B234">
        <v>1</v>
      </c>
      <c r="C234">
        <v>2</v>
      </c>
      <c r="D234">
        <v>2</v>
      </c>
      <c r="E234">
        <v>2</v>
      </c>
      <c r="F234">
        <v>143</v>
      </c>
    </row>
    <row r="235" spans="1:6" x14ac:dyDescent="0.3">
      <c r="A235" t="str">
        <f t="shared" si="3"/>
        <v>11312131143</v>
      </c>
      <c r="B235">
        <v>1</v>
      </c>
      <c r="C235">
        <v>3</v>
      </c>
      <c r="D235">
        <v>2</v>
      </c>
      <c r="E235">
        <v>3</v>
      </c>
      <c r="F235">
        <v>143</v>
      </c>
    </row>
    <row r="236" spans="1:6" x14ac:dyDescent="0.3">
      <c r="A236" t="str">
        <f t="shared" si="3"/>
        <v>216171131144</v>
      </c>
      <c r="B236">
        <v>2</v>
      </c>
      <c r="C236">
        <v>6</v>
      </c>
      <c r="D236">
        <v>7</v>
      </c>
      <c r="E236">
        <v>13</v>
      </c>
      <c r="F236">
        <v>144</v>
      </c>
    </row>
    <row r="237" spans="1:6" x14ac:dyDescent="0.3">
      <c r="A237" t="str">
        <f t="shared" si="3"/>
        <v>411111171145</v>
      </c>
      <c r="B237">
        <v>4</v>
      </c>
      <c r="C237">
        <v>1</v>
      </c>
      <c r="D237">
        <v>1</v>
      </c>
      <c r="E237">
        <v>17</v>
      </c>
      <c r="F237">
        <v>145</v>
      </c>
    </row>
    <row r="238" spans="1:6" x14ac:dyDescent="0.3">
      <c r="A238" t="str">
        <f t="shared" si="3"/>
        <v>11316191145</v>
      </c>
      <c r="B238">
        <v>1</v>
      </c>
      <c r="C238">
        <v>3</v>
      </c>
      <c r="D238">
        <v>6</v>
      </c>
      <c r="E238">
        <v>9</v>
      </c>
      <c r="F238">
        <v>145</v>
      </c>
    </row>
    <row r="239" spans="1:6" x14ac:dyDescent="0.3">
      <c r="A239" t="str">
        <f t="shared" si="3"/>
        <v>11212121146</v>
      </c>
      <c r="B239">
        <v>1</v>
      </c>
      <c r="C239">
        <v>2</v>
      </c>
      <c r="D239">
        <v>2</v>
      </c>
      <c r="E239">
        <v>2</v>
      </c>
      <c r="F239">
        <v>146</v>
      </c>
    </row>
    <row r="240" spans="1:6" x14ac:dyDescent="0.3">
      <c r="A240" t="str">
        <f t="shared" si="3"/>
        <v>11311191146</v>
      </c>
      <c r="B240">
        <v>1</v>
      </c>
      <c r="C240">
        <v>3</v>
      </c>
      <c r="D240">
        <v>1</v>
      </c>
      <c r="E240">
        <v>9</v>
      </c>
      <c r="F240">
        <v>146</v>
      </c>
    </row>
    <row r="241" spans="1:6" x14ac:dyDescent="0.3">
      <c r="A241" t="str">
        <f t="shared" si="3"/>
        <v>212121151147</v>
      </c>
      <c r="B241">
        <v>2</v>
      </c>
      <c r="C241">
        <v>2</v>
      </c>
      <c r="D241">
        <v>2</v>
      </c>
      <c r="E241">
        <v>15</v>
      </c>
      <c r="F241">
        <v>147</v>
      </c>
    </row>
    <row r="242" spans="1:6" x14ac:dyDescent="0.3">
      <c r="A242" t="str">
        <f t="shared" si="3"/>
        <v>216171251147</v>
      </c>
      <c r="B242">
        <v>2</v>
      </c>
      <c r="C242">
        <v>6</v>
      </c>
      <c r="D242">
        <v>7</v>
      </c>
      <c r="E242">
        <v>25</v>
      </c>
      <c r="F242">
        <v>147</v>
      </c>
    </row>
    <row r="243" spans="1:6" x14ac:dyDescent="0.3">
      <c r="A243" t="str">
        <f t="shared" si="3"/>
        <v>212121151148</v>
      </c>
      <c r="B243">
        <v>2</v>
      </c>
      <c r="C243">
        <v>2</v>
      </c>
      <c r="D243">
        <v>2</v>
      </c>
      <c r="E243">
        <v>15</v>
      </c>
      <c r="F243">
        <v>148</v>
      </c>
    </row>
    <row r="244" spans="1:6" x14ac:dyDescent="0.3">
      <c r="A244" t="str">
        <f t="shared" si="3"/>
        <v>216171131148</v>
      </c>
      <c r="B244">
        <v>2</v>
      </c>
      <c r="C244">
        <v>6</v>
      </c>
      <c r="D244">
        <v>7</v>
      </c>
      <c r="E244">
        <v>13</v>
      </c>
      <c r="F244">
        <v>148</v>
      </c>
    </row>
    <row r="245" spans="1:6" x14ac:dyDescent="0.3">
      <c r="A245" t="str">
        <f t="shared" si="3"/>
        <v>212121151149</v>
      </c>
      <c r="B245">
        <v>2</v>
      </c>
      <c r="C245">
        <v>2</v>
      </c>
      <c r="D245">
        <v>2</v>
      </c>
      <c r="E245">
        <v>15</v>
      </c>
      <c r="F245">
        <v>149</v>
      </c>
    </row>
    <row r="246" spans="1:6" x14ac:dyDescent="0.3">
      <c r="A246" t="str">
        <f t="shared" si="3"/>
        <v>216171251149</v>
      </c>
      <c r="B246">
        <v>2</v>
      </c>
      <c r="C246">
        <v>6</v>
      </c>
      <c r="D246">
        <v>7</v>
      </c>
      <c r="E246">
        <v>25</v>
      </c>
      <c r="F246">
        <v>149</v>
      </c>
    </row>
    <row r="247" spans="1:6" x14ac:dyDescent="0.3">
      <c r="A247" t="str">
        <f t="shared" si="3"/>
        <v>41415181150</v>
      </c>
      <c r="B247">
        <v>4</v>
      </c>
      <c r="C247">
        <v>4</v>
      </c>
      <c r="D247">
        <v>5</v>
      </c>
      <c r="E247">
        <v>8</v>
      </c>
      <c r="F247">
        <v>150</v>
      </c>
    </row>
    <row r="248" spans="1:6" x14ac:dyDescent="0.3">
      <c r="A248" t="str">
        <f t="shared" si="3"/>
        <v>113121241151</v>
      </c>
      <c r="B248">
        <v>1</v>
      </c>
      <c r="C248">
        <v>3</v>
      </c>
      <c r="D248">
        <v>2</v>
      </c>
      <c r="E248">
        <v>24</v>
      </c>
      <c r="F248">
        <v>151</v>
      </c>
    </row>
    <row r="249" spans="1:6" x14ac:dyDescent="0.3">
      <c r="A249" t="str">
        <f t="shared" si="3"/>
        <v>11312131152</v>
      </c>
      <c r="B249">
        <v>1</v>
      </c>
      <c r="C249">
        <v>3</v>
      </c>
      <c r="D249">
        <v>2</v>
      </c>
      <c r="E249">
        <v>3</v>
      </c>
      <c r="F249">
        <v>152</v>
      </c>
    </row>
    <row r="250" spans="1:6" x14ac:dyDescent="0.3">
      <c r="A250" t="str">
        <f t="shared" si="3"/>
        <v>212121151153</v>
      </c>
      <c r="B250">
        <v>2</v>
      </c>
      <c r="C250">
        <v>2</v>
      </c>
      <c r="D250">
        <v>2</v>
      </c>
      <c r="E250">
        <v>15</v>
      </c>
      <c r="F250">
        <v>153</v>
      </c>
    </row>
    <row r="251" spans="1:6" x14ac:dyDescent="0.3">
      <c r="A251" t="str">
        <f t="shared" si="3"/>
        <v>415151341153</v>
      </c>
      <c r="B251">
        <v>4</v>
      </c>
      <c r="C251">
        <v>5</v>
      </c>
      <c r="D251">
        <v>5</v>
      </c>
      <c r="E251">
        <v>34</v>
      </c>
      <c r="F251">
        <v>153</v>
      </c>
    </row>
    <row r="252" spans="1:6" x14ac:dyDescent="0.3">
      <c r="A252" t="str">
        <f t="shared" si="3"/>
        <v>411111171154</v>
      </c>
      <c r="B252">
        <v>4</v>
      </c>
      <c r="C252">
        <v>1</v>
      </c>
      <c r="D252">
        <v>1</v>
      </c>
      <c r="E252">
        <v>17</v>
      </c>
      <c r="F252">
        <v>154</v>
      </c>
    </row>
    <row r="253" spans="1:6" x14ac:dyDescent="0.3">
      <c r="A253" t="str">
        <f t="shared" si="3"/>
        <v>415151101154</v>
      </c>
      <c r="B253">
        <v>4</v>
      </c>
      <c r="C253">
        <v>5</v>
      </c>
      <c r="D253">
        <v>5</v>
      </c>
      <c r="E253">
        <v>10</v>
      </c>
      <c r="F253">
        <v>154</v>
      </c>
    </row>
    <row r="254" spans="1:6" x14ac:dyDescent="0.3">
      <c r="A254" t="str">
        <f t="shared" si="3"/>
        <v>11316191155</v>
      </c>
      <c r="B254">
        <v>1</v>
      </c>
      <c r="C254">
        <v>3</v>
      </c>
      <c r="D254">
        <v>6</v>
      </c>
      <c r="E254">
        <v>9</v>
      </c>
      <c r="F254">
        <v>155</v>
      </c>
    </row>
    <row r="255" spans="1:6" x14ac:dyDescent="0.3">
      <c r="A255" t="str">
        <f t="shared" si="3"/>
        <v>212121151156</v>
      </c>
      <c r="B255">
        <v>2</v>
      </c>
      <c r="C255">
        <v>2</v>
      </c>
      <c r="D255">
        <v>2</v>
      </c>
      <c r="E255">
        <v>15</v>
      </c>
      <c r="F255">
        <v>156</v>
      </c>
    </row>
    <row r="256" spans="1:6" x14ac:dyDescent="0.3">
      <c r="A256" t="str">
        <f t="shared" si="3"/>
        <v>216171251156</v>
      </c>
      <c r="B256">
        <v>2</v>
      </c>
      <c r="C256">
        <v>6</v>
      </c>
      <c r="D256">
        <v>7</v>
      </c>
      <c r="E256">
        <v>25</v>
      </c>
      <c r="F256">
        <v>156</v>
      </c>
    </row>
    <row r="257" spans="1:6" x14ac:dyDescent="0.3">
      <c r="A257" t="str">
        <f t="shared" si="3"/>
        <v>41414161157</v>
      </c>
      <c r="B257">
        <v>4</v>
      </c>
      <c r="C257">
        <v>4</v>
      </c>
      <c r="D257">
        <v>4</v>
      </c>
      <c r="E257">
        <v>6</v>
      </c>
      <c r="F257">
        <v>157</v>
      </c>
    </row>
    <row r="258" spans="1:6" x14ac:dyDescent="0.3">
      <c r="A258" t="str">
        <f t="shared" si="3"/>
        <v>31414151158</v>
      </c>
      <c r="B258">
        <v>3</v>
      </c>
      <c r="C258">
        <v>4</v>
      </c>
      <c r="D258">
        <v>4</v>
      </c>
      <c r="E258">
        <v>5</v>
      </c>
      <c r="F258">
        <v>158</v>
      </c>
    </row>
    <row r="259" spans="1:6" x14ac:dyDescent="0.3">
      <c r="A259" t="str">
        <f t="shared" ref="A259:A322" si="4">B259&amp;"1"&amp;C259&amp;"1"&amp;D259&amp;"1"&amp;E259&amp;"1"&amp;F259</f>
        <v>11311191158</v>
      </c>
      <c r="B259">
        <v>1</v>
      </c>
      <c r="C259">
        <v>3</v>
      </c>
      <c r="D259">
        <v>1</v>
      </c>
      <c r="E259">
        <v>9</v>
      </c>
      <c r="F259">
        <v>158</v>
      </c>
    </row>
    <row r="260" spans="1:6" x14ac:dyDescent="0.3">
      <c r="A260" t="str">
        <f t="shared" si="4"/>
        <v>11312131159</v>
      </c>
      <c r="B260">
        <v>1</v>
      </c>
      <c r="C260">
        <v>3</v>
      </c>
      <c r="D260">
        <v>2</v>
      </c>
      <c r="E260">
        <v>3</v>
      </c>
      <c r="F260">
        <v>159</v>
      </c>
    </row>
    <row r="261" spans="1:6" x14ac:dyDescent="0.3">
      <c r="A261" t="str">
        <f t="shared" si="4"/>
        <v>51413151160</v>
      </c>
      <c r="B261">
        <v>5</v>
      </c>
      <c r="C261">
        <v>4</v>
      </c>
      <c r="D261">
        <v>3</v>
      </c>
      <c r="E261">
        <v>5</v>
      </c>
      <c r="F261">
        <v>160</v>
      </c>
    </row>
    <row r="262" spans="1:6" x14ac:dyDescent="0.3">
      <c r="A262" t="str">
        <f t="shared" si="4"/>
        <v>11312131161</v>
      </c>
      <c r="B262">
        <v>1</v>
      </c>
      <c r="C262">
        <v>3</v>
      </c>
      <c r="D262">
        <v>2</v>
      </c>
      <c r="E262">
        <v>3</v>
      </c>
      <c r="F262">
        <v>161</v>
      </c>
    </row>
    <row r="263" spans="1:6" x14ac:dyDescent="0.3">
      <c r="A263" t="str">
        <f t="shared" si="4"/>
        <v>41414161161</v>
      </c>
      <c r="B263">
        <v>4</v>
      </c>
      <c r="C263">
        <v>4</v>
      </c>
      <c r="D263">
        <v>4</v>
      </c>
      <c r="E263">
        <v>6</v>
      </c>
      <c r="F263">
        <v>161</v>
      </c>
    </row>
    <row r="264" spans="1:6" x14ac:dyDescent="0.3">
      <c r="A264" t="str">
        <f t="shared" si="4"/>
        <v>31414161162</v>
      </c>
      <c r="B264">
        <v>3</v>
      </c>
      <c r="C264">
        <v>4</v>
      </c>
      <c r="D264">
        <v>4</v>
      </c>
      <c r="E264">
        <v>6</v>
      </c>
      <c r="F264">
        <v>162</v>
      </c>
    </row>
    <row r="265" spans="1:6" x14ac:dyDescent="0.3">
      <c r="A265" t="str">
        <f t="shared" si="4"/>
        <v>11312131163</v>
      </c>
      <c r="B265">
        <v>1</v>
      </c>
      <c r="C265">
        <v>3</v>
      </c>
      <c r="D265">
        <v>2</v>
      </c>
      <c r="E265">
        <v>3</v>
      </c>
      <c r="F265">
        <v>163</v>
      </c>
    </row>
    <row r="266" spans="1:6" x14ac:dyDescent="0.3">
      <c r="A266" t="str">
        <f t="shared" si="4"/>
        <v>414151351163</v>
      </c>
      <c r="B266">
        <v>4</v>
      </c>
      <c r="C266">
        <v>4</v>
      </c>
      <c r="D266">
        <v>5</v>
      </c>
      <c r="E266">
        <v>35</v>
      </c>
      <c r="F266">
        <v>163</v>
      </c>
    </row>
    <row r="267" spans="1:6" x14ac:dyDescent="0.3">
      <c r="A267" t="str">
        <f t="shared" si="4"/>
        <v>31414151164</v>
      </c>
      <c r="B267">
        <v>3</v>
      </c>
      <c r="C267">
        <v>4</v>
      </c>
      <c r="D267">
        <v>4</v>
      </c>
      <c r="E267">
        <v>5</v>
      </c>
      <c r="F267">
        <v>164</v>
      </c>
    </row>
    <row r="268" spans="1:6" x14ac:dyDescent="0.3">
      <c r="A268" t="str">
        <f t="shared" si="4"/>
        <v>415151101165</v>
      </c>
      <c r="B268">
        <v>4</v>
      </c>
      <c r="C268">
        <v>5</v>
      </c>
      <c r="D268">
        <v>5</v>
      </c>
      <c r="E268">
        <v>10</v>
      </c>
      <c r="F268">
        <v>165</v>
      </c>
    </row>
    <row r="269" spans="1:6" x14ac:dyDescent="0.3">
      <c r="A269" t="str">
        <f t="shared" si="4"/>
        <v>31414161166</v>
      </c>
      <c r="B269">
        <v>3</v>
      </c>
      <c r="C269">
        <v>4</v>
      </c>
      <c r="D269">
        <v>4</v>
      </c>
      <c r="E269">
        <v>6</v>
      </c>
      <c r="F269">
        <v>166</v>
      </c>
    </row>
    <row r="270" spans="1:6" x14ac:dyDescent="0.3">
      <c r="A270" t="str">
        <f t="shared" si="4"/>
        <v>112121231167</v>
      </c>
      <c r="B270">
        <v>1</v>
      </c>
      <c r="C270">
        <v>2</v>
      </c>
      <c r="D270">
        <v>2</v>
      </c>
      <c r="E270">
        <v>23</v>
      </c>
      <c r="F270">
        <v>167</v>
      </c>
    </row>
    <row r="271" spans="1:6" x14ac:dyDescent="0.3">
      <c r="A271" t="str">
        <f t="shared" si="4"/>
        <v>216121191167</v>
      </c>
      <c r="B271">
        <v>2</v>
      </c>
      <c r="C271">
        <v>6</v>
      </c>
      <c r="D271">
        <v>2</v>
      </c>
      <c r="E271">
        <v>19</v>
      </c>
      <c r="F271">
        <v>167</v>
      </c>
    </row>
    <row r="272" spans="1:6" x14ac:dyDescent="0.3">
      <c r="A272" t="str">
        <f t="shared" si="4"/>
        <v>31413151168</v>
      </c>
      <c r="B272">
        <v>3</v>
      </c>
      <c r="C272">
        <v>4</v>
      </c>
      <c r="D272">
        <v>3</v>
      </c>
      <c r="E272">
        <v>5</v>
      </c>
      <c r="F272">
        <v>168</v>
      </c>
    </row>
    <row r="273" spans="1:6" x14ac:dyDescent="0.3">
      <c r="A273" t="str">
        <f t="shared" si="4"/>
        <v>212121111168</v>
      </c>
      <c r="B273">
        <v>2</v>
      </c>
      <c r="C273">
        <v>2</v>
      </c>
      <c r="D273">
        <v>2</v>
      </c>
      <c r="E273">
        <v>11</v>
      </c>
      <c r="F273">
        <v>168</v>
      </c>
    </row>
    <row r="274" spans="1:6" x14ac:dyDescent="0.3">
      <c r="A274" t="str">
        <f t="shared" si="4"/>
        <v>113121241169</v>
      </c>
      <c r="B274">
        <v>1</v>
      </c>
      <c r="C274">
        <v>3</v>
      </c>
      <c r="D274">
        <v>2</v>
      </c>
      <c r="E274">
        <v>24</v>
      </c>
      <c r="F274">
        <v>169</v>
      </c>
    </row>
    <row r="275" spans="1:6" x14ac:dyDescent="0.3">
      <c r="A275" t="str">
        <f t="shared" si="4"/>
        <v>41414161169</v>
      </c>
      <c r="B275">
        <v>4</v>
      </c>
      <c r="C275">
        <v>4</v>
      </c>
      <c r="D275">
        <v>4</v>
      </c>
      <c r="E275">
        <v>6</v>
      </c>
      <c r="F275">
        <v>169</v>
      </c>
    </row>
    <row r="276" spans="1:6" x14ac:dyDescent="0.3">
      <c r="A276" t="str">
        <f t="shared" si="4"/>
        <v>415151361170</v>
      </c>
      <c r="B276">
        <v>4</v>
      </c>
      <c r="C276">
        <v>5</v>
      </c>
      <c r="D276">
        <v>5</v>
      </c>
      <c r="E276">
        <v>36</v>
      </c>
      <c r="F276">
        <v>170</v>
      </c>
    </row>
    <row r="277" spans="1:6" x14ac:dyDescent="0.3">
      <c r="A277" t="str">
        <f t="shared" si="4"/>
        <v>111111271170</v>
      </c>
      <c r="B277">
        <v>1</v>
      </c>
      <c r="C277">
        <v>1</v>
      </c>
      <c r="D277">
        <v>1</v>
      </c>
      <c r="E277">
        <v>27</v>
      </c>
      <c r="F277">
        <v>170</v>
      </c>
    </row>
    <row r="278" spans="1:6" x14ac:dyDescent="0.3">
      <c r="A278" t="str">
        <f t="shared" si="4"/>
        <v>216171261171</v>
      </c>
      <c r="B278">
        <v>2</v>
      </c>
      <c r="C278">
        <v>6</v>
      </c>
      <c r="D278">
        <v>7</v>
      </c>
      <c r="E278">
        <v>26</v>
      </c>
      <c r="F278">
        <v>171</v>
      </c>
    </row>
    <row r="279" spans="1:6" x14ac:dyDescent="0.3">
      <c r="A279" t="str">
        <f t="shared" si="4"/>
        <v>113121281172</v>
      </c>
      <c r="B279">
        <v>1</v>
      </c>
      <c r="C279">
        <v>3</v>
      </c>
      <c r="D279">
        <v>2</v>
      </c>
      <c r="E279">
        <v>28</v>
      </c>
      <c r="F279">
        <v>172</v>
      </c>
    </row>
    <row r="280" spans="1:6" x14ac:dyDescent="0.3">
      <c r="A280" t="str">
        <f t="shared" si="4"/>
        <v>414151291172</v>
      </c>
      <c r="B280">
        <v>4</v>
      </c>
      <c r="C280">
        <v>4</v>
      </c>
      <c r="D280">
        <v>5</v>
      </c>
      <c r="E280">
        <v>29</v>
      </c>
      <c r="F280">
        <v>172</v>
      </c>
    </row>
    <row r="281" spans="1:6" x14ac:dyDescent="0.3">
      <c r="A281" t="str">
        <f t="shared" si="4"/>
        <v>31414151173</v>
      </c>
      <c r="B281">
        <v>3</v>
      </c>
      <c r="C281">
        <v>4</v>
      </c>
      <c r="D281">
        <v>4</v>
      </c>
      <c r="E281">
        <v>5</v>
      </c>
      <c r="F281">
        <v>173</v>
      </c>
    </row>
    <row r="282" spans="1:6" x14ac:dyDescent="0.3">
      <c r="A282" t="str">
        <f t="shared" si="4"/>
        <v>11212121174</v>
      </c>
      <c r="B282">
        <v>1</v>
      </c>
      <c r="C282">
        <v>2</v>
      </c>
      <c r="D282">
        <v>2</v>
      </c>
      <c r="E282">
        <v>2</v>
      </c>
      <c r="F282">
        <v>174</v>
      </c>
    </row>
    <row r="283" spans="1:6" x14ac:dyDescent="0.3">
      <c r="A283" t="str">
        <f t="shared" si="4"/>
        <v>11312131174</v>
      </c>
      <c r="B283">
        <v>1</v>
      </c>
      <c r="C283">
        <v>3</v>
      </c>
      <c r="D283">
        <v>2</v>
      </c>
      <c r="E283">
        <v>3</v>
      </c>
      <c r="F283">
        <v>174</v>
      </c>
    </row>
    <row r="284" spans="1:6" x14ac:dyDescent="0.3">
      <c r="A284" t="str">
        <f t="shared" si="4"/>
        <v>216171221175</v>
      </c>
      <c r="B284">
        <v>2</v>
      </c>
      <c r="C284">
        <v>6</v>
      </c>
      <c r="D284">
        <v>7</v>
      </c>
      <c r="E284">
        <v>22</v>
      </c>
      <c r="F284">
        <v>175</v>
      </c>
    </row>
    <row r="285" spans="1:6" x14ac:dyDescent="0.3">
      <c r="A285" t="str">
        <f t="shared" si="4"/>
        <v>31414161175</v>
      </c>
      <c r="B285">
        <v>3</v>
      </c>
      <c r="C285">
        <v>4</v>
      </c>
      <c r="D285">
        <v>4</v>
      </c>
      <c r="E285">
        <v>6</v>
      </c>
      <c r="F285">
        <v>175</v>
      </c>
    </row>
    <row r="286" spans="1:6" x14ac:dyDescent="0.3">
      <c r="A286" t="str">
        <f t="shared" si="4"/>
        <v>11212121176</v>
      </c>
      <c r="B286">
        <v>1</v>
      </c>
      <c r="C286">
        <v>2</v>
      </c>
      <c r="D286">
        <v>2</v>
      </c>
      <c r="E286">
        <v>2</v>
      </c>
      <c r="F286">
        <v>176</v>
      </c>
    </row>
    <row r="287" spans="1:6" x14ac:dyDescent="0.3">
      <c r="A287" t="str">
        <f t="shared" si="4"/>
        <v>212121181176</v>
      </c>
      <c r="B287">
        <v>2</v>
      </c>
      <c r="C287">
        <v>2</v>
      </c>
      <c r="D287">
        <v>2</v>
      </c>
      <c r="E287">
        <v>18</v>
      </c>
      <c r="F287">
        <v>176</v>
      </c>
    </row>
    <row r="288" spans="1:6" x14ac:dyDescent="0.3">
      <c r="A288" t="str">
        <f t="shared" si="4"/>
        <v>51413151176</v>
      </c>
      <c r="B288">
        <v>5</v>
      </c>
      <c r="C288">
        <v>4</v>
      </c>
      <c r="D288">
        <v>3</v>
      </c>
      <c r="E288">
        <v>5</v>
      </c>
      <c r="F288">
        <v>176</v>
      </c>
    </row>
    <row r="289" spans="1:6" x14ac:dyDescent="0.3">
      <c r="A289" t="str">
        <f t="shared" si="4"/>
        <v>113121241177</v>
      </c>
      <c r="B289">
        <v>1</v>
      </c>
      <c r="C289">
        <v>3</v>
      </c>
      <c r="D289">
        <v>2</v>
      </c>
      <c r="E289">
        <v>24</v>
      </c>
      <c r="F289">
        <v>177</v>
      </c>
    </row>
    <row r="290" spans="1:6" x14ac:dyDescent="0.3">
      <c r="A290" t="str">
        <f t="shared" si="4"/>
        <v>31414161177</v>
      </c>
      <c r="B290">
        <v>3</v>
      </c>
      <c r="C290">
        <v>4</v>
      </c>
      <c r="D290">
        <v>4</v>
      </c>
      <c r="E290">
        <v>6</v>
      </c>
      <c r="F290">
        <v>177</v>
      </c>
    </row>
    <row r="291" spans="1:6" x14ac:dyDescent="0.3">
      <c r="A291" t="str">
        <f t="shared" si="4"/>
        <v>414151291178</v>
      </c>
      <c r="B291">
        <v>4</v>
      </c>
      <c r="C291">
        <v>4</v>
      </c>
      <c r="D291">
        <v>5</v>
      </c>
      <c r="E291">
        <v>29</v>
      </c>
      <c r="F291">
        <v>178</v>
      </c>
    </row>
    <row r="292" spans="1:6" x14ac:dyDescent="0.3">
      <c r="A292" t="str">
        <f t="shared" si="4"/>
        <v>212121151179</v>
      </c>
      <c r="B292">
        <v>2</v>
      </c>
      <c r="C292">
        <v>2</v>
      </c>
      <c r="D292">
        <v>2</v>
      </c>
      <c r="E292">
        <v>15</v>
      </c>
      <c r="F292">
        <v>179</v>
      </c>
    </row>
    <row r="293" spans="1:6" x14ac:dyDescent="0.3">
      <c r="A293" t="str">
        <f t="shared" si="4"/>
        <v>411111211179</v>
      </c>
      <c r="B293">
        <v>4</v>
      </c>
      <c r="C293">
        <v>1</v>
      </c>
      <c r="D293">
        <v>1</v>
      </c>
      <c r="E293">
        <v>21</v>
      </c>
      <c r="F293">
        <v>179</v>
      </c>
    </row>
    <row r="294" spans="1:6" x14ac:dyDescent="0.3">
      <c r="A294" t="str">
        <f t="shared" si="4"/>
        <v>411111171180</v>
      </c>
      <c r="B294">
        <v>4</v>
      </c>
      <c r="C294">
        <v>1</v>
      </c>
      <c r="D294">
        <v>1</v>
      </c>
      <c r="E294">
        <v>17</v>
      </c>
      <c r="F294">
        <v>180</v>
      </c>
    </row>
    <row r="295" spans="1:6" x14ac:dyDescent="0.3">
      <c r="A295" t="str">
        <f t="shared" si="4"/>
        <v>11316191180</v>
      </c>
      <c r="B295">
        <v>1</v>
      </c>
      <c r="C295">
        <v>3</v>
      </c>
      <c r="D295">
        <v>6</v>
      </c>
      <c r="E295">
        <v>9</v>
      </c>
      <c r="F295">
        <v>180</v>
      </c>
    </row>
    <row r="296" spans="1:6" x14ac:dyDescent="0.3">
      <c r="A296" t="str">
        <f t="shared" si="4"/>
        <v>31414151181</v>
      </c>
      <c r="B296">
        <v>3</v>
      </c>
      <c r="C296">
        <v>4</v>
      </c>
      <c r="D296">
        <v>4</v>
      </c>
      <c r="E296">
        <v>5</v>
      </c>
      <c r="F296">
        <v>181</v>
      </c>
    </row>
    <row r="297" spans="1:6" x14ac:dyDescent="0.3">
      <c r="A297" t="str">
        <f t="shared" si="4"/>
        <v>11111111181</v>
      </c>
      <c r="B297">
        <v>1</v>
      </c>
      <c r="C297">
        <v>1</v>
      </c>
      <c r="D297">
        <v>1</v>
      </c>
      <c r="E297">
        <v>1</v>
      </c>
      <c r="F297">
        <v>181</v>
      </c>
    </row>
    <row r="298" spans="1:6" x14ac:dyDescent="0.3">
      <c r="A298" t="str">
        <f t="shared" si="4"/>
        <v>411181211182</v>
      </c>
      <c r="B298">
        <v>4</v>
      </c>
      <c r="C298">
        <v>1</v>
      </c>
      <c r="D298">
        <v>8</v>
      </c>
      <c r="E298">
        <v>21</v>
      </c>
      <c r="F298">
        <v>182</v>
      </c>
    </row>
    <row r="299" spans="1:6" x14ac:dyDescent="0.3">
      <c r="A299" t="str">
        <f t="shared" si="4"/>
        <v>41415181182</v>
      </c>
      <c r="B299">
        <v>4</v>
      </c>
      <c r="C299">
        <v>4</v>
      </c>
      <c r="D299">
        <v>5</v>
      </c>
      <c r="E299">
        <v>8</v>
      </c>
      <c r="F299">
        <v>182</v>
      </c>
    </row>
    <row r="300" spans="1:6" x14ac:dyDescent="0.3">
      <c r="A300" t="str">
        <f t="shared" si="4"/>
        <v>31413151183</v>
      </c>
      <c r="B300">
        <v>3</v>
      </c>
      <c r="C300">
        <v>4</v>
      </c>
      <c r="D300">
        <v>3</v>
      </c>
      <c r="E300">
        <v>5</v>
      </c>
      <c r="F300">
        <v>183</v>
      </c>
    </row>
    <row r="301" spans="1:6" x14ac:dyDescent="0.3">
      <c r="A301" t="str">
        <f t="shared" si="4"/>
        <v>212121111183</v>
      </c>
      <c r="B301">
        <v>2</v>
      </c>
      <c r="C301">
        <v>2</v>
      </c>
      <c r="D301">
        <v>2</v>
      </c>
      <c r="E301">
        <v>11</v>
      </c>
      <c r="F301">
        <v>183</v>
      </c>
    </row>
    <row r="302" spans="1:6" x14ac:dyDescent="0.3">
      <c r="A302" t="str">
        <f t="shared" si="4"/>
        <v>113121281184</v>
      </c>
      <c r="B302">
        <v>1</v>
      </c>
      <c r="C302">
        <v>3</v>
      </c>
      <c r="D302">
        <v>2</v>
      </c>
      <c r="E302">
        <v>28</v>
      </c>
      <c r="F302">
        <v>184</v>
      </c>
    </row>
    <row r="303" spans="1:6" x14ac:dyDescent="0.3">
      <c r="A303" t="str">
        <f t="shared" si="4"/>
        <v>414151291184</v>
      </c>
      <c r="B303">
        <v>4</v>
      </c>
      <c r="C303">
        <v>4</v>
      </c>
      <c r="D303">
        <v>5</v>
      </c>
      <c r="E303">
        <v>29</v>
      </c>
      <c r="F303">
        <v>184</v>
      </c>
    </row>
    <row r="304" spans="1:6" x14ac:dyDescent="0.3">
      <c r="A304" t="str">
        <f t="shared" si="4"/>
        <v>51413151185</v>
      </c>
      <c r="B304">
        <v>5</v>
      </c>
      <c r="C304">
        <v>4</v>
      </c>
      <c r="D304">
        <v>3</v>
      </c>
      <c r="E304">
        <v>5</v>
      </c>
      <c r="F304">
        <v>185</v>
      </c>
    </row>
    <row r="305" spans="1:6" x14ac:dyDescent="0.3">
      <c r="A305" t="str">
        <f t="shared" si="4"/>
        <v>31414161185</v>
      </c>
      <c r="B305">
        <v>3</v>
      </c>
      <c r="C305">
        <v>4</v>
      </c>
      <c r="D305">
        <v>4</v>
      </c>
      <c r="E305">
        <v>6</v>
      </c>
      <c r="F305">
        <v>185</v>
      </c>
    </row>
    <row r="306" spans="1:6" x14ac:dyDescent="0.3">
      <c r="A306" t="str">
        <f t="shared" si="4"/>
        <v>212121111186</v>
      </c>
      <c r="B306">
        <v>2</v>
      </c>
      <c r="C306">
        <v>2</v>
      </c>
      <c r="D306">
        <v>2</v>
      </c>
      <c r="E306">
        <v>11</v>
      </c>
      <c r="F306">
        <v>186</v>
      </c>
    </row>
    <row r="307" spans="1:6" x14ac:dyDescent="0.3">
      <c r="A307" t="str">
        <f t="shared" si="4"/>
        <v>216121191187</v>
      </c>
      <c r="B307">
        <v>2</v>
      </c>
      <c r="C307">
        <v>6</v>
      </c>
      <c r="D307">
        <v>2</v>
      </c>
      <c r="E307">
        <v>19</v>
      </c>
      <c r="F307">
        <v>187</v>
      </c>
    </row>
    <row r="308" spans="1:6" x14ac:dyDescent="0.3">
      <c r="A308" t="str">
        <f t="shared" si="4"/>
        <v>41414161188</v>
      </c>
      <c r="B308">
        <v>4</v>
      </c>
      <c r="C308">
        <v>4</v>
      </c>
      <c r="D308">
        <v>4</v>
      </c>
      <c r="E308">
        <v>6</v>
      </c>
      <c r="F308">
        <v>188</v>
      </c>
    </row>
    <row r="309" spans="1:6" x14ac:dyDescent="0.3">
      <c r="A309" t="str">
        <f t="shared" si="4"/>
        <v>111111171189</v>
      </c>
      <c r="B309">
        <v>1</v>
      </c>
      <c r="C309">
        <v>1</v>
      </c>
      <c r="D309">
        <v>1</v>
      </c>
      <c r="E309">
        <v>17</v>
      </c>
      <c r="F309">
        <v>189</v>
      </c>
    </row>
    <row r="310" spans="1:6" x14ac:dyDescent="0.3">
      <c r="A310" t="str">
        <f t="shared" si="4"/>
        <v>31414151189</v>
      </c>
      <c r="B310">
        <v>3</v>
      </c>
      <c r="C310">
        <v>4</v>
      </c>
      <c r="D310">
        <v>4</v>
      </c>
      <c r="E310">
        <v>5</v>
      </c>
      <c r="F310">
        <v>189</v>
      </c>
    </row>
    <row r="311" spans="1:6" x14ac:dyDescent="0.3">
      <c r="A311" t="str">
        <f t="shared" si="4"/>
        <v>113121241190</v>
      </c>
      <c r="B311">
        <v>1</v>
      </c>
      <c r="C311">
        <v>3</v>
      </c>
      <c r="D311">
        <v>2</v>
      </c>
      <c r="E311">
        <v>24</v>
      </c>
      <c r="F311">
        <v>190</v>
      </c>
    </row>
    <row r="312" spans="1:6" x14ac:dyDescent="0.3">
      <c r="A312" t="str">
        <f t="shared" si="4"/>
        <v>41414161190</v>
      </c>
      <c r="B312">
        <v>4</v>
      </c>
      <c r="C312">
        <v>4</v>
      </c>
      <c r="D312">
        <v>4</v>
      </c>
      <c r="E312">
        <v>6</v>
      </c>
      <c r="F312">
        <v>190</v>
      </c>
    </row>
    <row r="313" spans="1:6" x14ac:dyDescent="0.3">
      <c r="A313" t="str">
        <f t="shared" si="4"/>
        <v>415151331191</v>
      </c>
      <c r="B313">
        <v>4</v>
      </c>
      <c r="C313">
        <v>5</v>
      </c>
      <c r="D313">
        <v>5</v>
      </c>
      <c r="E313">
        <v>33</v>
      </c>
      <c r="F313">
        <v>191</v>
      </c>
    </row>
    <row r="314" spans="1:6" x14ac:dyDescent="0.3">
      <c r="A314" t="str">
        <f t="shared" si="4"/>
        <v>212121181191</v>
      </c>
      <c r="B314">
        <v>2</v>
      </c>
      <c r="C314">
        <v>2</v>
      </c>
      <c r="D314">
        <v>2</v>
      </c>
      <c r="E314">
        <v>18</v>
      </c>
      <c r="F314">
        <v>191</v>
      </c>
    </row>
    <row r="315" spans="1:6" x14ac:dyDescent="0.3">
      <c r="A315" t="str">
        <f t="shared" si="4"/>
        <v>11316191192</v>
      </c>
      <c r="B315">
        <v>1</v>
      </c>
      <c r="C315">
        <v>3</v>
      </c>
      <c r="D315">
        <v>6</v>
      </c>
      <c r="E315">
        <v>9</v>
      </c>
      <c r="F315">
        <v>192</v>
      </c>
    </row>
    <row r="316" spans="1:6" x14ac:dyDescent="0.3">
      <c r="A316" t="str">
        <f t="shared" si="4"/>
        <v>31414161192</v>
      </c>
      <c r="B316">
        <v>3</v>
      </c>
      <c r="C316">
        <v>4</v>
      </c>
      <c r="D316">
        <v>4</v>
      </c>
      <c r="E316">
        <v>6</v>
      </c>
      <c r="F316">
        <v>192</v>
      </c>
    </row>
    <row r="317" spans="1:6" x14ac:dyDescent="0.3">
      <c r="A317" t="str">
        <f t="shared" si="4"/>
        <v>212121151193</v>
      </c>
      <c r="B317">
        <v>2</v>
      </c>
      <c r="C317">
        <v>2</v>
      </c>
      <c r="D317">
        <v>2</v>
      </c>
      <c r="E317">
        <v>15</v>
      </c>
      <c r="F317">
        <v>193</v>
      </c>
    </row>
    <row r="318" spans="1:6" x14ac:dyDescent="0.3">
      <c r="A318" t="str">
        <f t="shared" si="4"/>
        <v>216171131193</v>
      </c>
      <c r="B318">
        <v>2</v>
      </c>
      <c r="C318">
        <v>6</v>
      </c>
      <c r="D318">
        <v>7</v>
      </c>
      <c r="E318">
        <v>13</v>
      </c>
      <c r="F318">
        <v>193</v>
      </c>
    </row>
    <row r="319" spans="1:6" x14ac:dyDescent="0.3">
      <c r="A319" t="str">
        <f t="shared" si="4"/>
        <v>113121241194</v>
      </c>
      <c r="B319">
        <v>1</v>
      </c>
      <c r="C319">
        <v>3</v>
      </c>
      <c r="D319">
        <v>2</v>
      </c>
      <c r="E319">
        <v>24</v>
      </c>
      <c r="F319">
        <v>194</v>
      </c>
    </row>
    <row r="320" spans="1:6" x14ac:dyDescent="0.3">
      <c r="A320" t="str">
        <f t="shared" si="4"/>
        <v>41414161194</v>
      </c>
      <c r="B320">
        <v>4</v>
      </c>
      <c r="C320">
        <v>4</v>
      </c>
      <c r="D320">
        <v>4</v>
      </c>
      <c r="E320">
        <v>6</v>
      </c>
      <c r="F320">
        <v>194</v>
      </c>
    </row>
    <row r="321" spans="1:6" x14ac:dyDescent="0.3">
      <c r="A321" t="str">
        <f t="shared" si="4"/>
        <v>51413151195</v>
      </c>
      <c r="B321">
        <v>5</v>
      </c>
      <c r="C321">
        <v>4</v>
      </c>
      <c r="D321">
        <v>3</v>
      </c>
      <c r="E321">
        <v>5</v>
      </c>
      <c r="F321">
        <v>195</v>
      </c>
    </row>
    <row r="322" spans="1:6" x14ac:dyDescent="0.3">
      <c r="A322" t="str">
        <f t="shared" si="4"/>
        <v>11212121196</v>
      </c>
      <c r="B322">
        <v>1</v>
      </c>
      <c r="C322">
        <v>2</v>
      </c>
      <c r="D322">
        <v>2</v>
      </c>
      <c r="E322">
        <v>2</v>
      </c>
      <c r="F322">
        <v>196</v>
      </c>
    </row>
    <row r="323" spans="1:6" x14ac:dyDescent="0.3">
      <c r="A323" t="str">
        <f t="shared" ref="A323:A351" si="5">B323&amp;"1"&amp;C323&amp;"1"&amp;D323&amp;"1"&amp;E323&amp;"1"&amp;F323</f>
        <v>212121111196</v>
      </c>
      <c r="B323">
        <v>2</v>
      </c>
      <c r="C323">
        <v>2</v>
      </c>
      <c r="D323">
        <v>2</v>
      </c>
      <c r="E323">
        <v>11</v>
      </c>
      <c r="F323">
        <v>196</v>
      </c>
    </row>
    <row r="324" spans="1:6" x14ac:dyDescent="0.3">
      <c r="A324" t="str">
        <f t="shared" si="5"/>
        <v>113121281197</v>
      </c>
      <c r="B324">
        <v>1</v>
      </c>
      <c r="C324">
        <v>3</v>
      </c>
      <c r="D324">
        <v>2</v>
      </c>
      <c r="E324">
        <v>28</v>
      </c>
      <c r="F324">
        <v>197</v>
      </c>
    </row>
    <row r="325" spans="1:6" x14ac:dyDescent="0.3">
      <c r="A325" t="str">
        <f t="shared" si="5"/>
        <v>411111271198</v>
      </c>
      <c r="B325">
        <v>4</v>
      </c>
      <c r="C325">
        <v>1</v>
      </c>
      <c r="D325">
        <v>1</v>
      </c>
      <c r="E325">
        <v>27</v>
      </c>
      <c r="F325">
        <v>198</v>
      </c>
    </row>
    <row r="326" spans="1:6" x14ac:dyDescent="0.3">
      <c r="A326" t="str">
        <f t="shared" si="5"/>
        <v>11316191198</v>
      </c>
      <c r="B326">
        <v>1</v>
      </c>
      <c r="C326">
        <v>3</v>
      </c>
      <c r="D326">
        <v>6</v>
      </c>
      <c r="E326">
        <v>9</v>
      </c>
      <c r="F326">
        <v>198</v>
      </c>
    </row>
    <row r="327" spans="1:6" x14ac:dyDescent="0.3">
      <c r="A327" t="str">
        <f t="shared" si="5"/>
        <v>216171251199</v>
      </c>
      <c r="B327">
        <v>2</v>
      </c>
      <c r="C327">
        <v>6</v>
      </c>
      <c r="D327">
        <v>7</v>
      </c>
      <c r="E327">
        <v>25</v>
      </c>
      <c r="F327">
        <v>199</v>
      </c>
    </row>
    <row r="328" spans="1:6" x14ac:dyDescent="0.3">
      <c r="A328" t="str">
        <f t="shared" si="5"/>
        <v>112121231200</v>
      </c>
      <c r="B328">
        <v>1</v>
      </c>
      <c r="C328">
        <v>2</v>
      </c>
      <c r="D328">
        <v>2</v>
      </c>
      <c r="E328">
        <v>23</v>
      </c>
      <c r="F328">
        <v>200</v>
      </c>
    </row>
    <row r="329" spans="1:6" x14ac:dyDescent="0.3">
      <c r="A329" t="str">
        <f t="shared" si="5"/>
        <v>216121191200</v>
      </c>
      <c r="B329">
        <v>2</v>
      </c>
      <c r="C329">
        <v>6</v>
      </c>
      <c r="D329">
        <v>2</v>
      </c>
      <c r="E329">
        <v>19</v>
      </c>
      <c r="F329">
        <v>200</v>
      </c>
    </row>
    <row r="330" spans="1:6" x14ac:dyDescent="0.3">
      <c r="A330" t="str">
        <f t="shared" si="5"/>
        <v>216121161201</v>
      </c>
      <c r="B330">
        <v>2</v>
      </c>
      <c r="C330">
        <v>6</v>
      </c>
      <c r="D330">
        <v>2</v>
      </c>
      <c r="E330">
        <v>16</v>
      </c>
      <c r="F330">
        <v>201</v>
      </c>
    </row>
    <row r="331" spans="1:6" x14ac:dyDescent="0.3">
      <c r="A331" t="str">
        <f t="shared" si="5"/>
        <v>112121231202</v>
      </c>
      <c r="B331">
        <v>1</v>
      </c>
      <c r="C331">
        <v>2</v>
      </c>
      <c r="D331">
        <v>2</v>
      </c>
      <c r="E331">
        <v>23</v>
      </c>
      <c r="F331">
        <v>202</v>
      </c>
    </row>
    <row r="332" spans="1:6" x14ac:dyDescent="0.3">
      <c r="A332" t="str">
        <f t="shared" si="5"/>
        <v>212121111202</v>
      </c>
      <c r="B332">
        <v>2</v>
      </c>
      <c r="C332">
        <v>2</v>
      </c>
      <c r="D332">
        <v>2</v>
      </c>
      <c r="E332">
        <v>11</v>
      </c>
      <c r="F332">
        <v>202</v>
      </c>
    </row>
    <row r="333" spans="1:6" x14ac:dyDescent="0.3">
      <c r="A333" t="str">
        <f t="shared" si="5"/>
        <v>414151351203</v>
      </c>
      <c r="B333">
        <v>4</v>
      </c>
      <c r="C333">
        <v>4</v>
      </c>
      <c r="D333">
        <v>5</v>
      </c>
      <c r="E333">
        <v>35</v>
      </c>
      <c r="F333">
        <v>203</v>
      </c>
    </row>
    <row r="334" spans="1:6" x14ac:dyDescent="0.3">
      <c r="A334" t="str">
        <f t="shared" si="5"/>
        <v>41414161203</v>
      </c>
      <c r="B334">
        <v>4</v>
      </c>
      <c r="C334">
        <v>4</v>
      </c>
      <c r="D334">
        <v>4</v>
      </c>
      <c r="E334">
        <v>6</v>
      </c>
      <c r="F334">
        <v>203</v>
      </c>
    </row>
    <row r="335" spans="1:6" x14ac:dyDescent="0.3">
      <c r="A335" t="str">
        <f t="shared" si="5"/>
        <v>11212121204</v>
      </c>
      <c r="B335">
        <v>1</v>
      </c>
      <c r="C335">
        <v>2</v>
      </c>
      <c r="D335">
        <v>2</v>
      </c>
      <c r="E335">
        <v>2</v>
      </c>
      <c r="F335">
        <v>204</v>
      </c>
    </row>
    <row r="336" spans="1:6" x14ac:dyDescent="0.3">
      <c r="A336" t="str">
        <f t="shared" si="5"/>
        <v>11312131204</v>
      </c>
      <c r="B336">
        <v>1</v>
      </c>
      <c r="C336">
        <v>3</v>
      </c>
      <c r="D336">
        <v>2</v>
      </c>
      <c r="E336">
        <v>3</v>
      </c>
      <c r="F336">
        <v>204</v>
      </c>
    </row>
    <row r="337" spans="1:6" x14ac:dyDescent="0.3">
      <c r="A337" t="str">
        <f t="shared" si="5"/>
        <v>31414151205</v>
      </c>
      <c r="B337">
        <v>3</v>
      </c>
      <c r="C337">
        <v>4</v>
      </c>
      <c r="D337">
        <v>4</v>
      </c>
      <c r="E337">
        <v>5</v>
      </c>
      <c r="F337">
        <v>205</v>
      </c>
    </row>
    <row r="338" spans="1:6" x14ac:dyDescent="0.3">
      <c r="A338" t="str">
        <f t="shared" si="5"/>
        <v>112121231206</v>
      </c>
      <c r="B338">
        <v>1</v>
      </c>
      <c r="C338">
        <v>2</v>
      </c>
      <c r="D338">
        <v>2</v>
      </c>
      <c r="E338">
        <v>23</v>
      </c>
      <c r="F338">
        <v>206</v>
      </c>
    </row>
    <row r="339" spans="1:6" x14ac:dyDescent="0.3">
      <c r="A339" t="str">
        <f t="shared" si="5"/>
        <v>216121191206</v>
      </c>
      <c r="B339">
        <v>2</v>
      </c>
      <c r="C339">
        <v>6</v>
      </c>
      <c r="D339">
        <v>2</v>
      </c>
      <c r="E339">
        <v>19</v>
      </c>
      <c r="F339">
        <v>206</v>
      </c>
    </row>
    <row r="340" spans="1:6" x14ac:dyDescent="0.3">
      <c r="A340" t="str">
        <f t="shared" si="5"/>
        <v>31414161207</v>
      </c>
      <c r="B340">
        <v>3</v>
      </c>
      <c r="C340">
        <v>4</v>
      </c>
      <c r="D340">
        <v>4</v>
      </c>
      <c r="E340">
        <v>6</v>
      </c>
      <c r="F340">
        <v>207</v>
      </c>
    </row>
    <row r="341" spans="1:6" x14ac:dyDescent="0.3">
      <c r="A341" t="str">
        <f t="shared" si="5"/>
        <v>216171131208</v>
      </c>
      <c r="B341">
        <v>2</v>
      </c>
      <c r="C341">
        <v>6</v>
      </c>
      <c r="D341">
        <v>7</v>
      </c>
      <c r="E341">
        <v>13</v>
      </c>
      <c r="F341">
        <v>208</v>
      </c>
    </row>
    <row r="342" spans="1:6" x14ac:dyDescent="0.3">
      <c r="A342" t="str">
        <f t="shared" si="5"/>
        <v>11311191209</v>
      </c>
      <c r="B342">
        <v>1</v>
      </c>
      <c r="C342">
        <v>3</v>
      </c>
      <c r="D342">
        <v>1</v>
      </c>
      <c r="E342">
        <v>9</v>
      </c>
      <c r="F342">
        <v>209</v>
      </c>
    </row>
    <row r="343" spans="1:6" x14ac:dyDescent="0.3">
      <c r="A343" t="str">
        <f t="shared" si="5"/>
        <v>113121241209</v>
      </c>
      <c r="B343">
        <v>1</v>
      </c>
      <c r="C343">
        <v>3</v>
      </c>
      <c r="D343">
        <v>2</v>
      </c>
      <c r="E343">
        <v>24</v>
      </c>
      <c r="F343">
        <v>209</v>
      </c>
    </row>
    <row r="344" spans="1:6" x14ac:dyDescent="0.3">
      <c r="A344" t="str">
        <f t="shared" si="5"/>
        <v>51413151210</v>
      </c>
      <c r="B344">
        <v>5</v>
      </c>
      <c r="C344">
        <v>4</v>
      </c>
      <c r="D344">
        <v>3</v>
      </c>
      <c r="E344">
        <v>5</v>
      </c>
      <c r="F344">
        <v>210</v>
      </c>
    </row>
    <row r="345" spans="1:6" x14ac:dyDescent="0.3">
      <c r="A345" t="str">
        <f t="shared" si="5"/>
        <v>216171221211</v>
      </c>
      <c r="B345">
        <v>2</v>
      </c>
      <c r="C345">
        <v>6</v>
      </c>
      <c r="D345">
        <v>7</v>
      </c>
      <c r="E345">
        <v>22</v>
      </c>
      <c r="F345">
        <v>211</v>
      </c>
    </row>
    <row r="346" spans="1:6" x14ac:dyDescent="0.3">
      <c r="A346" t="str">
        <f t="shared" si="5"/>
        <v>411111171212</v>
      </c>
      <c r="B346">
        <v>4</v>
      </c>
      <c r="C346">
        <v>1</v>
      </c>
      <c r="D346">
        <v>1</v>
      </c>
      <c r="E346">
        <v>17</v>
      </c>
      <c r="F346">
        <v>212</v>
      </c>
    </row>
    <row r="347" spans="1:6" x14ac:dyDescent="0.3">
      <c r="A347" t="str">
        <f t="shared" si="5"/>
        <v>216171131213</v>
      </c>
      <c r="B347">
        <v>2</v>
      </c>
      <c r="C347">
        <v>6</v>
      </c>
      <c r="D347">
        <v>7</v>
      </c>
      <c r="E347">
        <v>13</v>
      </c>
      <c r="F347">
        <v>213</v>
      </c>
    </row>
    <row r="348" spans="1:6" x14ac:dyDescent="0.3">
      <c r="A348" t="str">
        <f t="shared" si="5"/>
        <v>111111271214</v>
      </c>
      <c r="B348">
        <v>1</v>
      </c>
      <c r="C348">
        <v>1</v>
      </c>
      <c r="D348">
        <v>1</v>
      </c>
      <c r="E348">
        <v>27</v>
      </c>
      <c r="F348">
        <v>214</v>
      </c>
    </row>
    <row r="349" spans="1:6" x14ac:dyDescent="0.3">
      <c r="A349" t="str">
        <f t="shared" si="5"/>
        <v>113161241214</v>
      </c>
      <c r="B349">
        <v>1</v>
      </c>
      <c r="C349">
        <v>3</v>
      </c>
      <c r="D349">
        <v>6</v>
      </c>
      <c r="E349">
        <v>24</v>
      </c>
      <c r="F349">
        <v>214</v>
      </c>
    </row>
    <row r="350" spans="1:6" x14ac:dyDescent="0.3">
      <c r="A350" t="str">
        <f t="shared" si="5"/>
        <v>212121151215</v>
      </c>
      <c r="B350">
        <v>2</v>
      </c>
      <c r="C350">
        <v>2</v>
      </c>
      <c r="D350">
        <v>2</v>
      </c>
      <c r="E350">
        <v>15</v>
      </c>
      <c r="F350">
        <v>215</v>
      </c>
    </row>
    <row r="351" spans="1:6" x14ac:dyDescent="0.3">
      <c r="A351" t="str">
        <f t="shared" si="5"/>
        <v>411181211215</v>
      </c>
      <c r="B351">
        <v>4</v>
      </c>
      <c r="C351">
        <v>1</v>
      </c>
      <c r="D351">
        <v>8</v>
      </c>
      <c r="E351">
        <v>21</v>
      </c>
      <c r="F351">
        <v>215</v>
      </c>
    </row>
  </sheetData>
  <autoFilter ref="A1:F351" xr:uid="{1F51C84A-A0AF-45A1-BD8F-67B31B0203BF}"/>
  <conditionalFormatting sqref="A2:A351">
    <cfRule type="duplicateValues" dxfId="55" priority="3"/>
    <cfRule type="duplicateValues" dxfId="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9F7A-AC44-462C-BBEB-26F030241304}">
  <dimension ref="A1:F311"/>
  <sheetViews>
    <sheetView workbookViewId="0">
      <selection activeCell="B1" sqref="B1"/>
    </sheetView>
  </sheetViews>
  <sheetFormatPr defaultRowHeight="14.4" x14ac:dyDescent="0.3"/>
  <cols>
    <col min="2" max="2" width="10.33203125" bestFit="1" customWidth="1"/>
    <col min="4" max="4" width="11.6640625" bestFit="1" customWidth="1"/>
  </cols>
  <sheetData>
    <row r="1" spans="1:6" x14ac:dyDescent="0.3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/>
    </row>
    <row r="2" spans="1:6" x14ac:dyDescent="0.3">
      <c r="A2">
        <v>1</v>
      </c>
      <c r="B2" s="1">
        <v>45113</v>
      </c>
      <c r="C2">
        <f t="shared" ref="C2:C65" si="0">YEAR(B2)</f>
        <v>2023</v>
      </c>
      <c r="D2" t="str">
        <f t="shared" ref="D2:D65" si="1">TEXT(B2,"MMM")</f>
        <v>Jul</v>
      </c>
      <c r="E2">
        <f t="shared" ref="E2:E65" si="2">MONTH(B2)</f>
        <v>7</v>
      </c>
    </row>
    <row r="3" spans="1:6" x14ac:dyDescent="0.3">
      <c r="A3">
        <v>2</v>
      </c>
      <c r="B3" s="1">
        <v>44697</v>
      </c>
      <c r="C3">
        <f t="shared" si="0"/>
        <v>2022</v>
      </c>
      <c r="D3" t="str">
        <f t="shared" si="1"/>
        <v>May</v>
      </c>
      <c r="E3">
        <f t="shared" si="2"/>
        <v>5</v>
      </c>
    </row>
    <row r="4" spans="1:6" x14ac:dyDescent="0.3">
      <c r="A4">
        <v>3</v>
      </c>
      <c r="B4" s="1">
        <v>45072</v>
      </c>
      <c r="C4">
        <f t="shared" si="0"/>
        <v>2023</v>
      </c>
      <c r="D4" t="str">
        <f t="shared" si="1"/>
        <v>May</v>
      </c>
      <c r="E4">
        <f t="shared" si="2"/>
        <v>5</v>
      </c>
    </row>
    <row r="5" spans="1:6" x14ac:dyDescent="0.3">
      <c r="A5">
        <v>4</v>
      </c>
      <c r="B5" s="1">
        <v>45511</v>
      </c>
      <c r="C5">
        <f t="shared" si="0"/>
        <v>2024</v>
      </c>
      <c r="D5" t="str">
        <f t="shared" si="1"/>
        <v>Aug</v>
      </c>
      <c r="E5">
        <f t="shared" si="2"/>
        <v>8</v>
      </c>
    </row>
    <row r="6" spans="1:6" x14ac:dyDescent="0.3">
      <c r="A6">
        <v>5</v>
      </c>
      <c r="B6" s="1">
        <v>44194</v>
      </c>
      <c r="C6">
        <f t="shared" si="0"/>
        <v>2020</v>
      </c>
      <c r="D6" t="str">
        <f t="shared" si="1"/>
        <v>Dec</v>
      </c>
      <c r="E6">
        <f t="shared" si="2"/>
        <v>12</v>
      </c>
    </row>
    <row r="7" spans="1:6" x14ac:dyDescent="0.3">
      <c r="A7">
        <v>6</v>
      </c>
      <c r="B7" s="1">
        <v>45128</v>
      </c>
      <c r="C7">
        <f t="shared" si="0"/>
        <v>2023</v>
      </c>
      <c r="D7" t="str">
        <f t="shared" si="1"/>
        <v>Jul</v>
      </c>
      <c r="E7">
        <f t="shared" si="2"/>
        <v>7</v>
      </c>
    </row>
    <row r="8" spans="1:6" x14ac:dyDescent="0.3">
      <c r="A8">
        <v>7</v>
      </c>
      <c r="B8" s="1">
        <v>45063</v>
      </c>
      <c r="C8">
        <f t="shared" si="0"/>
        <v>2023</v>
      </c>
      <c r="D8" t="str">
        <f t="shared" si="1"/>
        <v>May</v>
      </c>
      <c r="E8">
        <f t="shared" si="2"/>
        <v>5</v>
      </c>
    </row>
    <row r="9" spans="1:6" x14ac:dyDescent="0.3">
      <c r="A9">
        <v>8</v>
      </c>
      <c r="B9" s="1">
        <v>44306</v>
      </c>
      <c r="C9">
        <f t="shared" si="0"/>
        <v>2021</v>
      </c>
      <c r="D9" t="str">
        <f t="shared" si="1"/>
        <v>Apr</v>
      </c>
      <c r="E9">
        <f t="shared" si="2"/>
        <v>4</v>
      </c>
    </row>
    <row r="10" spans="1:6" x14ac:dyDescent="0.3">
      <c r="A10">
        <v>9</v>
      </c>
      <c r="B10" s="1">
        <v>44811</v>
      </c>
      <c r="C10">
        <f t="shared" si="0"/>
        <v>2022</v>
      </c>
      <c r="D10" t="str">
        <f t="shared" si="1"/>
        <v>Sep</v>
      </c>
      <c r="E10">
        <f t="shared" si="2"/>
        <v>9</v>
      </c>
    </row>
    <row r="11" spans="1:6" x14ac:dyDescent="0.3">
      <c r="A11">
        <v>10</v>
      </c>
      <c r="B11" s="1">
        <v>44625</v>
      </c>
      <c r="C11">
        <f t="shared" si="0"/>
        <v>2022</v>
      </c>
      <c r="D11" t="str">
        <f t="shared" si="1"/>
        <v>Mar</v>
      </c>
      <c r="E11">
        <f t="shared" si="2"/>
        <v>3</v>
      </c>
    </row>
    <row r="12" spans="1:6" x14ac:dyDescent="0.3">
      <c r="A12">
        <v>11</v>
      </c>
      <c r="B12" s="1">
        <v>45107</v>
      </c>
      <c r="C12">
        <f t="shared" si="0"/>
        <v>2023</v>
      </c>
      <c r="D12" t="str">
        <f t="shared" si="1"/>
        <v>Jun</v>
      </c>
      <c r="E12">
        <f t="shared" si="2"/>
        <v>6</v>
      </c>
    </row>
    <row r="13" spans="1:6" x14ac:dyDescent="0.3">
      <c r="A13">
        <v>12</v>
      </c>
      <c r="B13" s="1">
        <v>44780</v>
      </c>
      <c r="C13">
        <f t="shared" si="0"/>
        <v>2022</v>
      </c>
      <c r="D13" t="str">
        <f t="shared" si="1"/>
        <v>Aug</v>
      </c>
      <c r="E13">
        <f t="shared" si="2"/>
        <v>8</v>
      </c>
    </row>
    <row r="14" spans="1:6" x14ac:dyDescent="0.3">
      <c r="A14">
        <v>13</v>
      </c>
      <c r="B14" s="1">
        <v>45548</v>
      </c>
      <c r="C14">
        <f t="shared" si="0"/>
        <v>2024</v>
      </c>
      <c r="D14" t="str">
        <f t="shared" si="1"/>
        <v>Sep</v>
      </c>
      <c r="E14">
        <f t="shared" si="2"/>
        <v>9</v>
      </c>
    </row>
    <row r="15" spans="1:6" x14ac:dyDescent="0.3">
      <c r="A15">
        <v>14</v>
      </c>
      <c r="B15" s="1">
        <v>43966</v>
      </c>
      <c r="C15">
        <f t="shared" si="0"/>
        <v>2020</v>
      </c>
      <c r="D15" t="str">
        <f t="shared" si="1"/>
        <v>May</v>
      </c>
      <c r="E15">
        <f t="shared" si="2"/>
        <v>5</v>
      </c>
    </row>
    <row r="16" spans="1:6" x14ac:dyDescent="0.3">
      <c r="A16">
        <v>15</v>
      </c>
      <c r="B16" s="1">
        <v>44671</v>
      </c>
      <c r="C16">
        <f t="shared" si="0"/>
        <v>2022</v>
      </c>
      <c r="D16" t="str">
        <f t="shared" si="1"/>
        <v>Apr</v>
      </c>
      <c r="E16">
        <f t="shared" si="2"/>
        <v>4</v>
      </c>
    </row>
    <row r="17" spans="1:5" x14ac:dyDescent="0.3">
      <c r="A17">
        <v>16</v>
      </c>
      <c r="B17" s="1">
        <v>45557</v>
      </c>
      <c r="C17">
        <f t="shared" si="0"/>
        <v>2024</v>
      </c>
      <c r="D17" t="str">
        <f t="shared" si="1"/>
        <v>Sep</v>
      </c>
      <c r="E17">
        <f t="shared" si="2"/>
        <v>9</v>
      </c>
    </row>
    <row r="18" spans="1:5" x14ac:dyDescent="0.3">
      <c r="A18">
        <v>17</v>
      </c>
      <c r="B18" s="1">
        <v>45322</v>
      </c>
      <c r="C18">
        <f t="shared" si="0"/>
        <v>2024</v>
      </c>
      <c r="D18" t="str">
        <f t="shared" si="1"/>
        <v>Jan</v>
      </c>
      <c r="E18">
        <f t="shared" si="2"/>
        <v>1</v>
      </c>
    </row>
    <row r="19" spans="1:5" x14ac:dyDescent="0.3">
      <c r="A19">
        <v>18</v>
      </c>
      <c r="B19" s="1">
        <v>44458</v>
      </c>
      <c r="C19">
        <f t="shared" si="0"/>
        <v>2021</v>
      </c>
      <c r="D19" t="str">
        <f t="shared" si="1"/>
        <v>Sep</v>
      </c>
      <c r="E19">
        <f t="shared" si="2"/>
        <v>9</v>
      </c>
    </row>
    <row r="20" spans="1:5" x14ac:dyDescent="0.3">
      <c r="A20">
        <v>19</v>
      </c>
      <c r="B20" s="1">
        <v>45469</v>
      </c>
      <c r="C20">
        <f t="shared" si="0"/>
        <v>2024</v>
      </c>
      <c r="D20" t="str">
        <f t="shared" si="1"/>
        <v>Jun</v>
      </c>
      <c r="E20">
        <f t="shared" si="2"/>
        <v>6</v>
      </c>
    </row>
    <row r="21" spans="1:5" x14ac:dyDescent="0.3">
      <c r="A21">
        <v>20</v>
      </c>
      <c r="B21" s="1">
        <v>45087</v>
      </c>
      <c r="C21">
        <f t="shared" si="0"/>
        <v>2023</v>
      </c>
      <c r="D21" t="str">
        <f t="shared" si="1"/>
        <v>Jun</v>
      </c>
      <c r="E21">
        <f t="shared" si="2"/>
        <v>6</v>
      </c>
    </row>
    <row r="22" spans="1:5" x14ac:dyDescent="0.3">
      <c r="A22">
        <v>21</v>
      </c>
      <c r="B22" s="1">
        <v>44855</v>
      </c>
      <c r="C22">
        <f t="shared" si="0"/>
        <v>2022</v>
      </c>
      <c r="D22" t="str">
        <f t="shared" si="1"/>
        <v>Oct</v>
      </c>
      <c r="E22">
        <f t="shared" si="2"/>
        <v>10</v>
      </c>
    </row>
    <row r="23" spans="1:5" x14ac:dyDescent="0.3">
      <c r="A23">
        <v>22</v>
      </c>
      <c r="B23" s="1">
        <v>44260</v>
      </c>
      <c r="C23">
        <f t="shared" si="0"/>
        <v>2021</v>
      </c>
      <c r="D23" t="str">
        <f t="shared" si="1"/>
        <v>Mar</v>
      </c>
      <c r="E23">
        <f t="shared" si="2"/>
        <v>3</v>
      </c>
    </row>
    <row r="24" spans="1:5" x14ac:dyDescent="0.3">
      <c r="A24">
        <v>23</v>
      </c>
      <c r="B24" s="1">
        <v>44392</v>
      </c>
      <c r="C24">
        <f t="shared" si="0"/>
        <v>2021</v>
      </c>
      <c r="D24" t="str">
        <f t="shared" si="1"/>
        <v>Jul</v>
      </c>
      <c r="E24">
        <f t="shared" si="2"/>
        <v>7</v>
      </c>
    </row>
    <row r="25" spans="1:5" x14ac:dyDescent="0.3">
      <c r="A25">
        <v>24</v>
      </c>
      <c r="B25" s="1">
        <v>45151</v>
      </c>
      <c r="C25">
        <f t="shared" si="0"/>
        <v>2023</v>
      </c>
      <c r="D25" t="str">
        <f t="shared" si="1"/>
        <v>Aug</v>
      </c>
      <c r="E25">
        <f t="shared" si="2"/>
        <v>8</v>
      </c>
    </row>
    <row r="26" spans="1:5" x14ac:dyDescent="0.3">
      <c r="A26">
        <v>25</v>
      </c>
      <c r="B26" s="1">
        <v>45058</v>
      </c>
      <c r="C26">
        <f t="shared" si="0"/>
        <v>2023</v>
      </c>
      <c r="D26" t="str">
        <f t="shared" si="1"/>
        <v>May</v>
      </c>
      <c r="E26">
        <f t="shared" si="2"/>
        <v>5</v>
      </c>
    </row>
    <row r="27" spans="1:5" x14ac:dyDescent="0.3">
      <c r="A27">
        <v>26</v>
      </c>
      <c r="B27" s="1">
        <v>45005</v>
      </c>
      <c r="C27">
        <f t="shared" si="0"/>
        <v>2023</v>
      </c>
      <c r="D27" t="str">
        <f t="shared" si="1"/>
        <v>Mar</v>
      </c>
      <c r="E27">
        <f t="shared" si="2"/>
        <v>3</v>
      </c>
    </row>
    <row r="28" spans="1:5" x14ac:dyDescent="0.3">
      <c r="A28">
        <v>27</v>
      </c>
      <c r="B28" s="1">
        <v>45145</v>
      </c>
      <c r="C28">
        <f t="shared" si="0"/>
        <v>2023</v>
      </c>
      <c r="D28" t="str">
        <f t="shared" si="1"/>
        <v>Aug</v>
      </c>
      <c r="E28">
        <f t="shared" si="2"/>
        <v>8</v>
      </c>
    </row>
    <row r="29" spans="1:5" x14ac:dyDescent="0.3">
      <c r="A29">
        <v>28</v>
      </c>
      <c r="B29" s="1">
        <v>45029</v>
      </c>
      <c r="C29">
        <f t="shared" si="0"/>
        <v>2023</v>
      </c>
      <c r="D29" t="str">
        <f t="shared" si="1"/>
        <v>Apr</v>
      </c>
      <c r="E29">
        <f t="shared" si="2"/>
        <v>4</v>
      </c>
    </row>
    <row r="30" spans="1:5" x14ac:dyDescent="0.3">
      <c r="A30">
        <v>29</v>
      </c>
      <c r="B30" s="1">
        <v>44683</v>
      </c>
      <c r="C30">
        <f t="shared" si="0"/>
        <v>2022</v>
      </c>
      <c r="D30" t="str">
        <f t="shared" si="1"/>
        <v>May</v>
      </c>
      <c r="E30">
        <f t="shared" si="2"/>
        <v>5</v>
      </c>
    </row>
    <row r="31" spans="1:5" x14ac:dyDescent="0.3">
      <c r="A31">
        <v>30</v>
      </c>
      <c r="B31" s="1">
        <v>45449</v>
      </c>
      <c r="C31">
        <f t="shared" si="0"/>
        <v>2024</v>
      </c>
      <c r="D31" t="str">
        <f t="shared" si="1"/>
        <v>Jun</v>
      </c>
      <c r="E31">
        <f t="shared" si="2"/>
        <v>6</v>
      </c>
    </row>
    <row r="32" spans="1:5" x14ac:dyDescent="0.3">
      <c r="A32">
        <v>31</v>
      </c>
      <c r="B32" s="1">
        <v>45390</v>
      </c>
      <c r="C32">
        <f t="shared" si="0"/>
        <v>2024</v>
      </c>
      <c r="D32" t="str">
        <f t="shared" si="1"/>
        <v>Apr</v>
      </c>
      <c r="E32">
        <f t="shared" si="2"/>
        <v>4</v>
      </c>
    </row>
    <row r="33" spans="1:5" x14ac:dyDescent="0.3">
      <c r="A33">
        <v>32</v>
      </c>
      <c r="B33" s="1">
        <v>43894</v>
      </c>
      <c r="C33">
        <f t="shared" si="0"/>
        <v>2020</v>
      </c>
      <c r="D33" t="str">
        <f t="shared" si="1"/>
        <v>Mar</v>
      </c>
      <c r="E33">
        <f t="shared" si="2"/>
        <v>3</v>
      </c>
    </row>
    <row r="34" spans="1:5" x14ac:dyDescent="0.3">
      <c r="A34">
        <v>33</v>
      </c>
      <c r="B34" s="1">
        <v>44696</v>
      </c>
      <c r="C34">
        <f t="shared" si="0"/>
        <v>2022</v>
      </c>
      <c r="D34" t="str">
        <f t="shared" si="1"/>
        <v>May</v>
      </c>
      <c r="E34">
        <f t="shared" si="2"/>
        <v>5</v>
      </c>
    </row>
    <row r="35" spans="1:5" x14ac:dyDescent="0.3">
      <c r="A35">
        <v>34</v>
      </c>
      <c r="B35" s="1">
        <v>44488</v>
      </c>
      <c r="C35">
        <f t="shared" si="0"/>
        <v>2021</v>
      </c>
      <c r="D35" t="str">
        <f t="shared" si="1"/>
        <v>Oct</v>
      </c>
      <c r="E35">
        <f t="shared" si="2"/>
        <v>10</v>
      </c>
    </row>
    <row r="36" spans="1:5" x14ac:dyDescent="0.3">
      <c r="A36">
        <v>35</v>
      </c>
      <c r="B36" s="1">
        <v>44031</v>
      </c>
      <c r="C36">
        <f t="shared" si="0"/>
        <v>2020</v>
      </c>
      <c r="D36" t="str">
        <f t="shared" si="1"/>
        <v>Jul</v>
      </c>
      <c r="E36">
        <f t="shared" si="2"/>
        <v>7</v>
      </c>
    </row>
    <row r="37" spans="1:5" x14ac:dyDescent="0.3">
      <c r="A37">
        <v>36</v>
      </c>
      <c r="B37" s="1">
        <v>44868</v>
      </c>
      <c r="C37">
        <f t="shared" si="0"/>
        <v>2022</v>
      </c>
      <c r="D37" t="str">
        <f t="shared" si="1"/>
        <v>Nov</v>
      </c>
      <c r="E37">
        <f t="shared" si="2"/>
        <v>11</v>
      </c>
    </row>
    <row r="38" spans="1:5" x14ac:dyDescent="0.3">
      <c r="A38">
        <v>37</v>
      </c>
      <c r="B38" s="1">
        <v>45210</v>
      </c>
      <c r="C38">
        <f t="shared" si="0"/>
        <v>2023</v>
      </c>
      <c r="D38" t="str">
        <f t="shared" si="1"/>
        <v>Oct</v>
      </c>
      <c r="E38">
        <f t="shared" si="2"/>
        <v>10</v>
      </c>
    </row>
    <row r="39" spans="1:5" x14ac:dyDescent="0.3">
      <c r="A39">
        <v>38</v>
      </c>
      <c r="B39" s="1">
        <v>44126</v>
      </c>
      <c r="C39">
        <f t="shared" si="0"/>
        <v>2020</v>
      </c>
      <c r="D39" t="str">
        <f t="shared" si="1"/>
        <v>Oct</v>
      </c>
      <c r="E39">
        <f t="shared" si="2"/>
        <v>10</v>
      </c>
    </row>
    <row r="40" spans="1:5" x14ac:dyDescent="0.3">
      <c r="A40">
        <v>39</v>
      </c>
      <c r="B40" s="1">
        <v>44631</v>
      </c>
      <c r="C40">
        <f t="shared" si="0"/>
        <v>2022</v>
      </c>
      <c r="D40" t="str">
        <f t="shared" si="1"/>
        <v>Mar</v>
      </c>
      <c r="E40">
        <f t="shared" si="2"/>
        <v>3</v>
      </c>
    </row>
    <row r="41" spans="1:5" x14ac:dyDescent="0.3">
      <c r="A41">
        <v>40</v>
      </c>
      <c r="B41" s="1">
        <v>44250</v>
      </c>
      <c r="C41">
        <f t="shared" si="0"/>
        <v>2021</v>
      </c>
      <c r="D41" t="str">
        <f t="shared" si="1"/>
        <v>Feb</v>
      </c>
      <c r="E41">
        <f t="shared" si="2"/>
        <v>2</v>
      </c>
    </row>
    <row r="42" spans="1:5" x14ac:dyDescent="0.3">
      <c r="A42">
        <v>41</v>
      </c>
      <c r="B42" s="1">
        <v>44332</v>
      </c>
      <c r="C42">
        <f t="shared" si="0"/>
        <v>2021</v>
      </c>
      <c r="D42" t="str">
        <f t="shared" si="1"/>
        <v>May</v>
      </c>
      <c r="E42">
        <f t="shared" si="2"/>
        <v>5</v>
      </c>
    </row>
    <row r="43" spans="1:5" x14ac:dyDescent="0.3">
      <c r="A43">
        <v>42</v>
      </c>
      <c r="B43" s="1">
        <v>44397</v>
      </c>
      <c r="C43">
        <f t="shared" si="0"/>
        <v>2021</v>
      </c>
      <c r="D43" t="str">
        <f t="shared" si="1"/>
        <v>Jul</v>
      </c>
      <c r="E43">
        <f t="shared" si="2"/>
        <v>7</v>
      </c>
    </row>
    <row r="44" spans="1:5" x14ac:dyDescent="0.3">
      <c r="A44">
        <v>43</v>
      </c>
      <c r="B44" s="1">
        <v>43955</v>
      </c>
      <c r="C44">
        <f t="shared" si="0"/>
        <v>2020</v>
      </c>
      <c r="D44" t="str">
        <f t="shared" si="1"/>
        <v>May</v>
      </c>
      <c r="E44">
        <f t="shared" si="2"/>
        <v>5</v>
      </c>
    </row>
    <row r="45" spans="1:5" x14ac:dyDescent="0.3">
      <c r="A45">
        <v>44</v>
      </c>
      <c r="B45" s="1">
        <v>44062</v>
      </c>
      <c r="C45">
        <f t="shared" si="0"/>
        <v>2020</v>
      </c>
      <c r="D45" t="str">
        <f t="shared" si="1"/>
        <v>Aug</v>
      </c>
      <c r="E45">
        <f t="shared" si="2"/>
        <v>8</v>
      </c>
    </row>
    <row r="46" spans="1:5" x14ac:dyDescent="0.3">
      <c r="A46">
        <v>45</v>
      </c>
      <c r="B46" s="1">
        <v>44623</v>
      </c>
      <c r="C46">
        <f t="shared" si="0"/>
        <v>2022</v>
      </c>
      <c r="D46" t="str">
        <f t="shared" si="1"/>
        <v>Mar</v>
      </c>
      <c r="E46">
        <f t="shared" si="2"/>
        <v>3</v>
      </c>
    </row>
    <row r="47" spans="1:5" x14ac:dyDescent="0.3">
      <c r="A47">
        <v>46</v>
      </c>
      <c r="B47" s="1">
        <v>43953</v>
      </c>
      <c r="C47">
        <f t="shared" si="0"/>
        <v>2020</v>
      </c>
      <c r="D47" t="str">
        <f t="shared" si="1"/>
        <v>May</v>
      </c>
      <c r="E47">
        <f t="shared" si="2"/>
        <v>5</v>
      </c>
    </row>
    <row r="48" spans="1:5" x14ac:dyDescent="0.3">
      <c r="A48">
        <v>47</v>
      </c>
      <c r="B48" s="1">
        <v>45149</v>
      </c>
      <c r="C48">
        <f t="shared" si="0"/>
        <v>2023</v>
      </c>
      <c r="D48" t="str">
        <f t="shared" si="1"/>
        <v>Aug</v>
      </c>
      <c r="E48">
        <f t="shared" si="2"/>
        <v>8</v>
      </c>
    </row>
    <row r="49" spans="1:5" x14ac:dyDescent="0.3">
      <c r="A49">
        <v>48</v>
      </c>
      <c r="B49" s="1">
        <v>44852</v>
      </c>
      <c r="C49">
        <f t="shared" si="0"/>
        <v>2022</v>
      </c>
      <c r="D49" t="str">
        <f t="shared" si="1"/>
        <v>Oct</v>
      </c>
      <c r="E49">
        <f t="shared" si="2"/>
        <v>10</v>
      </c>
    </row>
    <row r="50" spans="1:5" x14ac:dyDescent="0.3">
      <c r="A50">
        <v>49</v>
      </c>
      <c r="B50" s="1">
        <v>44001</v>
      </c>
      <c r="C50">
        <f t="shared" si="0"/>
        <v>2020</v>
      </c>
      <c r="D50" t="str">
        <f t="shared" si="1"/>
        <v>Jun</v>
      </c>
      <c r="E50">
        <f t="shared" si="2"/>
        <v>6</v>
      </c>
    </row>
    <row r="51" spans="1:5" x14ac:dyDescent="0.3">
      <c r="A51">
        <v>50</v>
      </c>
      <c r="B51" s="1">
        <v>44654</v>
      </c>
      <c r="C51">
        <f t="shared" si="0"/>
        <v>2022</v>
      </c>
      <c r="D51" t="str">
        <f t="shared" si="1"/>
        <v>Apr</v>
      </c>
      <c r="E51">
        <f t="shared" si="2"/>
        <v>4</v>
      </c>
    </row>
    <row r="52" spans="1:5" x14ac:dyDescent="0.3">
      <c r="A52">
        <v>51</v>
      </c>
      <c r="B52" s="1">
        <v>45249</v>
      </c>
      <c r="C52">
        <f t="shared" si="0"/>
        <v>2023</v>
      </c>
      <c r="D52" t="str">
        <f t="shared" si="1"/>
        <v>Nov</v>
      </c>
      <c r="E52">
        <f t="shared" si="2"/>
        <v>11</v>
      </c>
    </row>
    <row r="53" spans="1:5" x14ac:dyDescent="0.3">
      <c r="A53">
        <v>52</v>
      </c>
      <c r="B53" s="1">
        <v>45461</v>
      </c>
      <c r="C53">
        <f t="shared" si="0"/>
        <v>2024</v>
      </c>
      <c r="D53" t="str">
        <f t="shared" si="1"/>
        <v>Jun</v>
      </c>
      <c r="E53">
        <f t="shared" si="2"/>
        <v>6</v>
      </c>
    </row>
    <row r="54" spans="1:5" x14ac:dyDescent="0.3">
      <c r="A54">
        <v>53</v>
      </c>
      <c r="B54" s="1">
        <v>45056</v>
      </c>
      <c r="C54">
        <f t="shared" si="0"/>
        <v>2023</v>
      </c>
      <c r="D54" t="str">
        <f t="shared" si="1"/>
        <v>May</v>
      </c>
      <c r="E54">
        <f t="shared" si="2"/>
        <v>5</v>
      </c>
    </row>
    <row r="55" spans="1:5" x14ac:dyDescent="0.3">
      <c r="A55">
        <v>54</v>
      </c>
      <c r="B55" s="1">
        <v>44582</v>
      </c>
      <c r="C55">
        <f t="shared" si="0"/>
        <v>2022</v>
      </c>
      <c r="D55" t="str">
        <f t="shared" si="1"/>
        <v>Jan</v>
      </c>
      <c r="E55">
        <f t="shared" si="2"/>
        <v>1</v>
      </c>
    </row>
    <row r="56" spans="1:5" x14ac:dyDescent="0.3">
      <c r="A56">
        <v>55</v>
      </c>
      <c r="B56" s="1">
        <v>44700</v>
      </c>
      <c r="C56">
        <f t="shared" si="0"/>
        <v>2022</v>
      </c>
      <c r="D56" t="str">
        <f t="shared" si="1"/>
        <v>May</v>
      </c>
      <c r="E56">
        <f t="shared" si="2"/>
        <v>5</v>
      </c>
    </row>
    <row r="57" spans="1:5" x14ac:dyDescent="0.3">
      <c r="A57">
        <v>56</v>
      </c>
      <c r="B57" s="1">
        <v>45374</v>
      </c>
      <c r="C57">
        <f t="shared" si="0"/>
        <v>2024</v>
      </c>
      <c r="D57" t="str">
        <f t="shared" si="1"/>
        <v>Mar</v>
      </c>
      <c r="E57">
        <f t="shared" si="2"/>
        <v>3</v>
      </c>
    </row>
    <row r="58" spans="1:5" x14ac:dyDescent="0.3">
      <c r="A58">
        <v>57</v>
      </c>
      <c r="B58" s="1">
        <v>44641</v>
      </c>
      <c r="C58">
        <f t="shared" si="0"/>
        <v>2022</v>
      </c>
      <c r="D58" t="str">
        <f t="shared" si="1"/>
        <v>Mar</v>
      </c>
      <c r="E58">
        <f t="shared" si="2"/>
        <v>3</v>
      </c>
    </row>
    <row r="59" spans="1:5" x14ac:dyDescent="0.3">
      <c r="A59">
        <v>58</v>
      </c>
      <c r="B59" s="1">
        <v>45369</v>
      </c>
      <c r="C59">
        <f t="shared" si="0"/>
        <v>2024</v>
      </c>
      <c r="D59" t="str">
        <f t="shared" si="1"/>
        <v>Mar</v>
      </c>
      <c r="E59">
        <f t="shared" si="2"/>
        <v>3</v>
      </c>
    </row>
    <row r="60" spans="1:5" x14ac:dyDescent="0.3">
      <c r="A60">
        <v>59</v>
      </c>
      <c r="B60" s="1">
        <v>44860</v>
      </c>
      <c r="C60">
        <f t="shared" si="0"/>
        <v>2022</v>
      </c>
      <c r="D60" t="str">
        <f t="shared" si="1"/>
        <v>Oct</v>
      </c>
      <c r="E60">
        <f t="shared" si="2"/>
        <v>10</v>
      </c>
    </row>
    <row r="61" spans="1:5" x14ac:dyDescent="0.3">
      <c r="A61">
        <v>60</v>
      </c>
      <c r="B61" s="1">
        <v>44594</v>
      </c>
      <c r="C61">
        <f t="shared" si="0"/>
        <v>2022</v>
      </c>
      <c r="D61" t="str">
        <f t="shared" si="1"/>
        <v>Feb</v>
      </c>
      <c r="E61">
        <f t="shared" si="2"/>
        <v>2</v>
      </c>
    </row>
    <row r="62" spans="1:5" x14ac:dyDescent="0.3">
      <c r="A62">
        <v>61</v>
      </c>
      <c r="B62" s="1">
        <v>44774</v>
      </c>
      <c r="C62">
        <f t="shared" si="0"/>
        <v>2022</v>
      </c>
      <c r="D62" t="str">
        <f t="shared" si="1"/>
        <v>Aug</v>
      </c>
      <c r="E62">
        <f t="shared" si="2"/>
        <v>8</v>
      </c>
    </row>
    <row r="63" spans="1:5" x14ac:dyDescent="0.3">
      <c r="A63">
        <v>62</v>
      </c>
      <c r="B63" s="1">
        <v>43964</v>
      </c>
      <c r="C63">
        <f t="shared" si="0"/>
        <v>2020</v>
      </c>
      <c r="D63" t="str">
        <f t="shared" si="1"/>
        <v>May</v>
      </c>
      <c r="E63">
        <f t="shared" si="2"/>
        <v>5</v>
      </c>
    </row>
    <row r="64" spans="1:5" x14ac:dyDescent="0.3">
      <c r="A64">
        <v>63</v>
      </c>
      <c r="B64" s="1">
        <v>44051</v>
      </c>
      <c r="C64">
        <f t="shared" si="0"/>
        <v>2020</v>
      </c>
      <c r="D64" t="str">
        <f t="shared" si="1"/>
        <v>Aug</v>
      </c>
      <c r="E64">
        <f t="shared" si="2"/>
        <v>8</v>
      </c>
    </row>
    <row r="65" spans="1:5" x14ac:dyDescent="0.3">
      <c r="A65">
        <v>64</v>
      </c>
      <c r="B65" s="1">
        <v>44572</v>
      </c>
      <c r="C65">
        <f t="shared" si="0"/>
        <v>2022</v>
      </c>
      <c r="D65" t="str">
        <f t="shared" si="1"/>
        <v>Jan</v>
      </c>
      <c r="E65">
        <f t="shared" si="2"/>
        <v>1</v>
      </c>
    </row>
    <row r="66" spans="1:5" x14ac:dyDescent="0.3">
      <c r="A66">
        <v>65</v>
      </c>
      <c r="B66" s="1">
        <v>45411</v>
      </c>
      <c r="C66">
        <f t="shared" ref="C66:C129" si="3">YEAR(B66)</f>
        <v>2024</v>
      </c>
      <c r="D66" t="str">
        <f t="shared" ref="D66:D129" si="4">TEXT(B66,"MMM")</f>
        <v>Apr</v>
      </c>
      <c r="E66">
        <f t="shared" ref="E66:E129" si="5">MONTH(B66)</f>
        <v>4</v>
      </c>
    </row>
    <row r="67" spans="1:5" x14ac:dyDescent="0.3">
      <c r="A67">
        <v>66</v>
      </c>
      <c r="B67" s="1">
        <v>44132</v>
      </c>
      <c r="C67">
        <f t="shared" si="3"/>
        <v>2020</v>
      </c>
      <c r="D67" t="str">
        <f t="shared" si="4"/>
        <v>Oct</v>
      </c>
      <c r="E67">
        <f t="shared" si="5"/>
        <v>10</v>
      </c>
    </row>
    <row r="68" spans="1:5" x14ac:dyDescent="0.3">
      <c r="A68">
        <v>67</v>
      </c>
      <c r="B68" s="1">
        <v>44642</v>
      </c>
      <c r="C68">
        <f t="shared" si="3"/>
        <v>2022</v>
      </c>
      <c r="D68" t="str">
        <f t="shared" si="4"/>
        <v>Mar</v>
      </c>
      <c r="E68">
        <f t="shared" si="5"/>
        <v>3</v>
      </c>
    </row>
    <row r="69" spans="1:5" x14ac:dyDescent="0.3">
      <c r="A69">
        <v>68</v>
      </c>
      <c r="B69" s="1">
        <v>45346</v>
      </c>
      <c r="C69">
        <f t="shared" si="3"/>
        <v>2024</v>
      </c>
      <c r="D69" t="str">
        <f t="shared" si="4"/>
        <v>Feb</v>
      </c>
      <c r="E69">
        <f t="shared" si="5"/>
        <v>2</v>
      </c>
    </row>
    <row r="70" spans="1:5" x14ac:dyDescent="0.3">
      <c r="A70">
        <v>69</v>
      </c>
      <c r="B70" s="1">
        <v>44275</v>
      </c>
      <c r="C70">
        <f t="shared" si="3"/>
        <v>2021</v>
      </c>
      <c r="D70" t="str">
        <f t="shared" si="4"/>
        <v>Mar</v>
      </c>
      <c r="E70">
        <f t="shared" si="5"/>
        <v>3</v>
      </c>
    </row>
    <row r="71" spans="1:5" x14ac:dyDescent="0.3">
      <c r="A71">
        <v>70</v>
      </c>
      <c r="B71" s="1">
        <v>44463</v>
      </c>
      <c r="C71">
        <f t="shared" si="3"/>
        <v>2021</v>
      </c>
      <c r="D71" t="str">
        <f t="shared" si="4"/>
        <v>Sep</v>
      </c>
      <c r="E71">
        <f t="shared" si="5"/>
        <v>9</v>
      </c>
    </row>
    <row r="72" spans="1:5" x14ac:dyDescent="0.3">
      <c r="A72">
        <v>71</v>
      </c>
      <c r="B72" s="1">
        <v>44072</v>
      </c>
      <c r="C72">
        <f t="shared" si="3"/>
        <v>2020</v>
      </c>
      <c r="D72" t="str">
        <f t="shared" si="4"/>
        <v>Aug</v>
      </c>
      <c r="E72">
        <f t="shared" si="5"/>
        <v>8</v>
      </c>
    </row>
    <row r="73" spans="1:5" x14ac:dyDescent="0.3">
      <c r="A73">
        <v>72</v>
      </c>
      <c r="B73" s="1">
        <v>44915</v>
      </c>
      <c r="C73">
        <f t="shared" si="3"/>
        <v>2022</v>
      </c>
      <c r="D73" t="str">
        <f t="shared" si="4"/>
        <v>Dec</v>
      </c>
      <c r="E73">
        <f t="shared" si="5"/>
        <v>12</v>
      </c>
    </row>
    <row r="74" spans="1:5" x14ac:dyDescent="0.3">
      <c r="A74">
        <v>73</v>
      </c>
      <c r="B74" s="1">
        <v>45137</v>
      </c>
      <c r="C74">
        <f t="shared" si="3"/>
        <v>2023</v>
      </c>
      <c r="D74" t="str">
        <f t="shared" si="4"/>
        <v>Jul</v>
      </c>
      <c r="E74">
        <f t="shared" si="5"/>
        <v>7</v>
      </c>
    </row>
    <row r="75" spans="1:5" x14ac:dyDescent="0.3">
      <c r="A75">
        <v>74</v>
      </c>
      <c r="B75" s="1">
        <v>44398</v>
      </c>
      <c r="C75">
        <f t="shared" si="3"/>
        <v>2021</v>
      </c>
      <c r="D75" t="str">
        <f t="shared" si="4"/>
        <v>Jul</v>
      </c>
      <c r="E75">
        <f t="shared" si="5"/>
        <v>7</v>
      </c>
    </row>
    <row r="76" spans="1:5" x14ac:dyDescent="0.3">
      <c r="A76">
        <v>75</v>
      </c>
      <c r="B76" s="1">
        <v>44447</v>
      </c>
      <c r="C76">
        <f t="shared" si="3"/>
        <v>2021</v>
      </c>
      <c r="D76" t="str">
        <f t="shared" si="4"/>
        <v>Sep</v>
      </c>
      <c r="E76">
        <f t="shared" si="5"/>
        <v>9</v>
      </c>
    </row>
    <row r="77" spans="1:5" x14ac:dyDescent="0.3">
      <c r="A77">
        <v>76</v>
      </c>
      <c r="B77" s="1">
        <v>45134</v>
      </c>
      <c r="C77">
        <f t="shared" si="3"/>
        <v>2023</v>
      </c>
      <c r="D77" t="str">
        <f t="shared" si="4"/>
        <v>Jul</v>
      </c>
      <c r="E77">
        <f t="shared" si="5"/>
        <v>7</v>
      </c>
    </row>
    <row r="78" spans="1:5" x14ac:dyDescent="0.3">
      <c r="A78">
        <v>77</v>
      </c>
      <c r="B78" s="1">
        <v>45030</v>
      </c>
      <c r="C78">
        <f t="shared" si="3"/>
        <v>2023</v>
      </c>
      <c r="D78" t="str">
        <f t="shared" si="4"/>
        <v>Apr</v>
      </c>
      <c r="E78">
        <f t="shared" si="5"/>
        <v>4</v>
      </c>
    </row>
    <row r="79" spans="1:5" x14ac:dyDescent="0.3">
      <c r="A79">
        <v>78</v>
      </c>
      <c r="B79" s="1">
        <v>44707</v>
      </c>
      <c r="C79">
        <f t="shared" si="3"/>
        <v>2022</v>
      </c>
      <c r="D79" t="str">
        <f t="shared" si="4"/>
        <v>May</v>
      </c>
      <c r="E79">
        <f t="shared" si="5"/>
        <v>5</v>
      </c>
    </row>
    <row r="80" spans="1:5" x14ac:dyDescent="0.3">
      <c r="A80">
        <v>79</v>
      </c>
      <c r="B80" s="1">
        <v>43947</v>
      </c>
      <c r="C80">
        <f t="shared" si="3"/>
        <v>2020</v>
      </c>
      <c r="D80" t="str">
        <f t="shared" si="4"/>
        <v>Apr</v>
      </c>
      <c r="E80">
        <f t="shared" si="5"/>
        <v>4</v>
      </c>
    </row>
    <row r="81" spans="1:5" x14ac:dyDescent="0.3">
      <c r="A81">
        <v>80</v>
      </c>
      <c r="B81" s="1">
        <v>44838</v>
      </c>
      <c r="C81">
        <f t="shared" si="3"/>
        <v>2022</v>
      </c>
      <c r="D81" t="str">
        <f t="shared" si="4"/>
        <v>Oct</v>
      </c>
      <c r="E81">
        <f t="shared" si="5"/>
        <v>10</v>
      </c>
    </row>
    <row r="82" spans="1:5" x14ac:dyDescent="0.3">
      <c r="A82">
        <v>81</v>
      </c>
      <c r="B82" s="1">
        <v>45142</v>
      </c>
      <c r="C82">
        <f t="shared" si="3"/>
        <v>2023</v>
      </c>
      <c r="D82" t="str">
        <f t="shared" si="4"/>
        <v>Aug</v>
      </c>
      <c r="E82">
        <f t="shared" si="5"/>
        <v>8</v>
      </c>
    </row>
    <row r="83" spans="1:5" x14ac:dyDescent="0.3">
      <c r="A83">
        <v>82</v>
      </c>
      <c r="B83" s="1">
        <v>45178</v>
      </c>
      <c r="C83">
        <f t="shared" si="3"/>
        <v>2023</v>
      </c>
      <c r="D83" t="str">
        <f t="shared" si="4"/>
        <v>Sep</v>
      </c>
      <c r="E83">
        <f t="shared" si="5"/>
        <v>9</v>
      </c>
    </row>
    <row r="84" spans="1:5" x14ac:dyDescent="0.3">
      <c r="A84">
        <v>83</v>
      </c>
      <c r="B84" s="1">
        <v>44059</v>
      </c>
      <c r="C84">
        <f t="shared" si="3"/>
        <v>2020</v>
      </c>
      <c r="D84" t="str">
        <f t="shared" si="4"/>
        <v>Aug</v>
      </c>
      <c r="E84">
        <f t="shared" si="5"/>
        <v>8</v>
      </c>
    </row>
    <row r="85" spans="1:5" x14ac:dyDescent="0.3">
      <c r="A85">
        <v>84</v>
      </c>
      <c r="B85" s="1">
        <v>45642</v>
      </c>
      <c r="C85">
        <f t="shared" si="3"/>
        <v>2024</v>
      </c>
      <c r="D85" t="str">
        <f t="shared" si="4"/>
        <v>Dec</v>
      </c>
      <c r="E85">
        <f t="shared" si="5"/>
        <v>12</v>
      </c>
    </row>
    <row r="86" spans="1:5" x14ac:dyDescent="0.3">
      <c r="A86">
        <v>85</v>
      </c>
      <c r="B86" s="1">
        <v>44815</v>
      </c>
      <c r="C86">
        <f t="shared" si="3"/>
        <v>2022</v>
      </c>
      <c r="D86" t="str">
        <f t="shared" si="4"/>
        <v>Sep</v>
      </c>
      <c r="E86">
        <f t="shared" si="5"/>
        <v>9</v>
      </c>
    </row>
    <row r="87" spans="1:5" x14ac:dyDescent="0.3">
      <c r="A87">
        <v>86</v>
      </c>
      <c r="B87" s="1">
        <v>44021</v>
      </c>
      <c r="C87">
        <f t="shared" si="3"/>
        <v>2020</v>
      </c>
      <c r="D87" t="str">
        <f t="shared" si="4"/>
        <v>Jul</v>
      </c>
      <c r="E87">
        <f t="shared" si="5"/>
        <v>7</v>
      </c>
    </row>
    <row r="88" spans="1:5" x14ac:dyDescent="0.3">
      <c r="A88">
        <v>87</v>
      </c>
      <c r="B88" s="1">
        <v>44203</v>
      </c>
      <c r="C88">
        <f t="shared" si="3"/>
        <v>2021</v>
      </c>
      <c r="D88" t="str">
        <f t="shared" si="4"/>
        <v>Jan</v>
      </c>
      <c r="E88">
        <f t="shared" si="5"/>
        <v>1</v>
      </c>
    </row>
    <row r="89" spans="1:5" x14ac:dyDescent="0.3">
      <c r="A89">
        <v>88</v>
      </c>
      <c r="B89" s="1">
        <v>44080</v>
      </c>
      <c r="C89">
        <f t="shared" si="3"/>
        <v>2020</v>
      </c>
      <c r="D89" t="str">
        <f t="shared" si="4"/>
        <v>Sep</v>
      </c>
      <c r="E89">
        <f t="shared" si="5"/>
        <v>9</v>
      </c>
    </row>
    <row r="90" spans="1:5" x14ac:dyDescent="0.3">
      <c r="A90">
        <v>89</v>
      </c>
      <c r="B90" s="1">
        <v>44951</v>
      </c>
      <c r="C90">
        <f t="shared" si="3"/>
        <v>2023</v>
      </c>
      <c r="D90" t="str">
        <f t="shared" si="4"/>
        <v>Jan</v>
      </c>
      <c r="E90">
        <f t="shared" si="5"/>
        <v>1</v>
      </c>
    </row>
    <row r="91" spans="1:5" x14ac:dyDescent="0.3">
      <c r="A91">
        <v>90</v>
      </c>
      <c r="B91" s="1">
        <v>44499</v>
      </c>
      <c r="C91">
        <f t="shared" si="3"/>
        <v>2021</v>
      </c>
      <c r="D91" t="str">
        <f t="shared" si="4"/>
        <v>Oct</v>
      </c>
      <c r="E91">
        <f t="shared" si="5"/>
        <v>10</v>
      </c>
    </row>
    <row r="92" spans="1:5" x14ac:dyDescent="0.3">
      <c r="A92">
        <v>91</v>
      </c>
      <c r="B92" s="1">
        <v>44274</v>
      </c>
      <c r="C92">
        <f t="shared" si="3"/>
        <v>2021</v>
      </c>
      <c r="D92" t="str">
        <f t="shared" si="4"/>
        <v>Mar</v>
      </c>
      <c r="E92">
        <f t="shared" si="5"/>
        <v>3</v>
      </c>
    </row>
    <row r="93" spans="1:5" x14ac:dyDescent="0.3">
      <c r="A93">
        <v>92</v>
      </c>
      <c r="B93" s="1">
        <v>43997</v>
      </c>
      <c r="C93">
        <f t="shared" si="3"/>
        <v>2020</v>
      </c>
      <c r="D93" t="str">
        <f t="shared" si="4"/>
        <v>Jun</v>
      </c>
      <c r="E93">
        <f t="shared" si="5"/>
        <v>6</v>
      </c>
    </row>
    <row r="94" spans="1:5" x14ac:dyDescent="0.3">
      <c r="A94">
        <v>93</v>
      </c>
      <c r="B94" s="1">
        <v>43850</v>
      </c>
      <c r="C94">
        <f t="shared" si="3"/>
        <v>2020</v>
      </c>
      <c r="D94" t="str">
        <f t="shared" si="4"/>
        <v>Jan</v>
      </c>
      <c r="E94">
        <f t="shared" si="5"/>
        <v>1</v>
      </c>
    </row>
    <row r="95" spans="1:5" x14ac:dyDescent="0.3">
      <c r="A95">
        <v>94</v>
      </c>
      <c r="B95" s="1">
        <v>44959</v>
      </c>
      <c r="C95">
        <f t="shared" si="3"/>
        <v>2023</v>
      </c>
      <c r="D95" t="str">
        <f t="shared" si="4"/>
        <v>Feb</v>
      </c>
      <c r="E95">
        <f t="shared" si="5"/>
        <v>2</v>
      </c>
    </row>
    <row r="96" spans="1:5" x14ac:dyDescent="0.3">
      <c r="A96">
        <v>95</v>
      </c>
      <c r="B96" s="1">
        <v>45569</v>
      </c>
      <c r="C96">
        <f t="shared" si="3"/>
        <v>2024</v>
      </c>
      <c r="D96" t="str">
        <f t="shared" si="4"/>
        <v>Oct</v>
      </c>
      <c r="E96">
        <f t="shared" si="5"/>
        <v>10</v>
      </c>
    </row>
    <row r="97" spans="1:5" x14ac:dyDescent="0.3">
      <c r="A97">
        <v>96</v>
      </c>
      <c r="B97" s="1">
        <v>45500</v>
      </c>
      <c r="C97">
        <f t="shared" si="3"/>
        <v>2024</v>
      </c>
      <c r="D97" t="str">
        <f t="shared" si="4"/>
        <v>Jul</v>
      </c>
      <c r="E97">
        <f t="shared" si="5"/>
        <v>7</v>
      </c>
    </row>
    <row r="98" spans="1:5" x14ac:dyDescent="0.3">
      <c r="A98">
        <v>97</v>
      </c>
      <c r="B98" s="1">
        <v>45093</v>
      </c>
      <c r="C98">
        <f t="shared" si="3"/>
        <v>2023</v>
      </c>
      <c r="D98" t="str">
        <f t="shared" si="4"/>
        <v>Jun</v>
      </c>
      <c r="E98">
        <f t="shared" si="5"/>
        <v>6</v>
      </c>
    </row>
    <row r="99" spans="1:5" x14ac:dyDescent="0.3">
      <c r="A99">
        <v>98</v>
      </c>
      <c r="B99" s="1">
        <v>45046</v>
      </c>
      <c r="C99">
        <f t="shared" si="3"/>
        <v>2023</v>
      </c>
      <c r="D99" t="str">
        <f t="shared" si="4"/>
        <v>Apr</v>
      </c>
      <c r="E99">
        <f t="shared" si="5"/>
        <v>4</v>
      </c>
    </row>
    <row r="100" spans="1:5" x14ac:dyDescent="0.3">
      <c r="A100">
        <v>99</v>
      </c>
      <c r="B100" s="1">
        <v>45234</v>
      </c>
      <c r="C100">
        <f t="shared" si="3"/>
        <v>2023</v>
      </c>
      <c r="D100" t="str">
        <f t="shared" si="4"/>
        <v>Nov</v>
      </c>
      <c r="E100">
        <f t="shared" si="5"/>
        <v>11</v>
      </c>
    </row>
    <row r="101" spans="1:5" x14ac:dyDescent="0.3">
      <c r="A101">
        <v>100</v>
      </c>
      <c r="B101" s="1">
        <v>44556</v>
      </c>
      <c r="C101">
        <f t="shared" si="3"/>
        <v>2021</v>
      </c>
      <c r="D101" t="str">
        <f t="shared" si="4"/>
        <v>Dec</v>
      </c>
      <c r="E101">
        <f t="shared" si="5"/>
        <v>12</v>
      </c>
    </row>
    <row r="102" spans="1:5" x14ac:dyDescent="0.3">
      <c r="A102">
        <v>101</v>
      </c>
      <c r="B102" s="1">
        <v>45443</v>
      </c>
      <c r="C102">
        <f t="shared" si="3"/>
        <v>2024</v>
      </c>
      <c r="D102" t="str">
        <f t="shared" si="4"/>
        <v>May</v>
      </c>
      <c r="E102">
        <f t="shared" si="5"/>
        <v>5</v>
      </c>
    </row>
    <row r="103" spans="1:5" x14ac:dyDescent="0.3">
      <c r="A103">
        <v>102</v>
      </c>
      <c r="B103" s="1">
        <v>44101</v>
      </c>
      <c r="C103">
        <f t="shared" si="3"/>
        <v>2020</v>
      </c>
      <c r="D103" t="str">
        <f t="shared" si="4"/>
        <v>Sep</v>
      </c>
      <c r="E103">
        <f t="shared" si="5"/>
        <v>9</v>
      </c>
    </row>
    <row r="104" spans="1:5" x14ac:dyDescent="0.3">
      <c r="A104">
        <v>103</v>
      </c>
      <c r="B104" s="1">
        <v>45637</v>
      </c>
      <c r="C104">
        <f t="shared" si="3"/>
        <v>2024</v>
      </c>
      <c r="D104" t="str">
        <f t="shared" si="4"/>
        <v>Dec</v>
      </c>
      <c r="E104">
        <f t="shared" si="5"/>
        <v>12</v>
      </c>
    </row>
    <row r="105" spans="1:5" x14ac:dyDescent="0.3">
      <c r="A105">
        <v>104</v>
      </c>
      <c r="B105" s="1">
        <v>45279</v>
      </c>
      <c r="C105">
        <f t="shared" si="3"/>
        <v>2023</v>
      </c>
      <c r="D105" t="str">
        <f t="shared" si="4"/>
        <v>Dec</v>
      </c>
      <c r="E105">
        <f t="shared" si="5"/>
        <v>12</v>
      </c>
    </row>
    <row r="106" spans="1:5" x14ac:dyDescent="0.3">
      <c r="A106">
        <v>105</v>
      </c>
      <c r="B106" s="1">
        <v>45362</v>
      </c>
      <c r="C106">
        <f t="shared" si="3"/>
        <v>2024</v>
      </c>
      <c r="D106" t="str">
        <f t="shared" si="4"/>
        <v>Mar</v>
      </c>
      <c r="E106">
        <f t="shared" si="5"/>
        <v>3</v>
      </c>
    </row>
    <row r="107" spans="1:5" x14ac:dyDescent="0.3">
      <c r="A107">
        <v>106</v>
      </c>
      <c r="B107" s="1">
        <v>44155</v>
      </c>
      <c r="C107">
        <f t="shared" si="3"/>
        <v>2020</v>
      </c>
      <c r="D107" t="str">
        <f t="shared" si="4"/>
        <v>Nov</v>
      </c>
      <c r="E107">
        <f t="shared" si="5"/>
        <v>11</v>
      </c>
    </row>
    <row r="108" spans="1:5" x14ac:dyDescent="0.3">
      <c r="A108">
        <v>107</v>
      </c>
      <c r="B108" s="1">
        <v>44171</v>
      </c>
      <c r="C108">
        <f t="shared" si="3"/>
        <v>2020</v>
      </c>
      <c r="D108" t="str">
        <f t="shared" si="4"/>
        <v>Dec</v>
      </c>
      <c r="E108">
        <f t="shared" si="5"/>
        <v>12</v>
      </c>
    </row>
    <row r="109" spans="1:5" x14ac:dyDescent="0.3">
      <c r="A109">
        <v>108</v>
      </c>
      <c r="B109" s="1">
        <v>45528</v>
      </c>
      <c r="C109">
        <f t="shared" si="3"/>
        <v>2024</v>
      </c>
      <c r="D109" t="str">
        <f t="shared" si="4"/>
        <v>Aug</v>
      </c>
      <c r="E109">
        <f t="shared" si="5"/>
        <v>8</v>
      </c>
    </row>
    <row r="110" spans="1:5" x14ac:dyDescent="0.3">
      <c r="A110">
        <v>109</v>
      </c>
      <c r="B110" s="1">
        <v>45154</v>
      </c>
      <c r="C110">
        <f t="shared" si="3"/>
        <v>2023</v>
      </c>
      <c r="D110" t="str">
        <f t="shared" si="4"/>
        <v>Aug</v>
      </c>
      <c r="E110">
        <f t="shared" si="5"/>
        <v>8</v>
      </c>
    </row>
    <row r="111" spans="1:5" x14ac:dyDescent="0.3">
      <c r="A111">
        <v>110</v>
      </c>
      <c r="B111" s="1">
        <v>45377</v>
      </c>
      <c r="C111">
        <f t="shared" si="3"/>
        <v>2024</v>
      </c>
      <c r="D111" t="str">
        <f t="shared" si="4"/>
        <v>Mar</v>
      </c>
      <c r="E111">
        <f t="shared" si="5"/>
        <v>3</v>
      </c>
    </row>
    <row r="112" spans="1:5" x14ac:dyDescent="0.3">
      <c r="A112">
        <v>111</v>
      </c>
      <c r="B112" s="1">
        <v>45324</v>
      </c>
      <c r="C112">
        <f t="shared" si="3"/>
        <v>2024</v>
      </c>
      <c r="D112" t="str">
        <f t="shared" si="4"/>
        <v>Feb</v>
      </c>
      <c r="E112">
        <f t="shared" si="5"/>
        <v>2</v>
      </c>
    </row>
    <row r="113" spans="1:5" x14ac:dyDescent="0.3">
      <c r="A113">
        <v>112</v>
      </c>
      <c r="B113" s="1">
        <v>43840</v>
      </c>
      <c r="C113">
        <f t="shared" si="3"/>
        <v>2020</v>
      </c>
      <c r="D113" t="str">
        <f t="shared" si="4"/>
        <v>Jan</v>
      </c>
      <c r="E113">
        <f t="shared" si="5"/>
        <v>1</v>
      </c>
    </row>
    <row r="114" spans="1:5" x14ac:dyDescent="0.3">
      <c r="A114">
        <v>113</v>
      </c>
      <c r="B114" s="1">
        <v>43989</v>
      </c>
      <c r="C114">
        <f t="shared" si="3"/>
        <v>2020</v>
      </c>
      <c r="D114" t="str">
        <f t="shared" si="4"/>
        <v>Jun</v>
      </c>
      <c r="E114">
        <f t="shared" si="5"/>
        <v>6</v>
      </c>
    </row>
    <row r="115" spans="1:5" x14ac:dyDescent="0.3">
      <c r="A115">
        <v>114</v>
      </c>
      <c r="B115" s="1">
        <v>44884</v>
      </c>
      <c r="C115">
        <f t="shared" si="3"/>
        <v>2022</v>
      </c>
      <c r="D115" t="str">
        <f t="shared" si="4"/>
        <v>Nov</v>
      </c>
      <c r="E115">
        <f t="shared" si="5"/>
        <v>11</v>
      </c>
    </row>
    <row r="116" spans="1:5" x14ac:dyDescent="0.3">
      <c r="A116">
        <v>115</v>
      </c>
      <c r="B116" s="1">
        <v>45438</v>
      </c>
      <c r="C116">
        <f t="shared" si="3"/>
        <v>2024</v>
      </c>
      <c r="D116" t="str">
        <f t="shared" si="4"/>
        <v>May</v>
      </c>
      <c r="E116">
        <f t="shared" si="5"/>
        <v>5</v>
      </c>
    </row>
    <row r="117" spans="1:5" x14ac:dyDescent="0.3">
      <c r="A117">
        <v>116</v>
      </c>
      <c r="B117" s="1">
        <v>45123</v>
      </c>
      <c r="C117">
        <f t="shared" si="3"/>
        <v>2023</v>
      </c>
      <c r="D117" t="str">
        <f t="shared" si="4"/>
        <v>Jul</v>
      </c>
      <c r="E117">
        <f t="shared" si="5"/>
        <v>7</v>
      </c>
    </row>
    <row r="118" spans="1:5" x14ac:dyDescent="0.3">
      <c r="A118">
        <v>117</v>
      </c>
      <c r="B118" s="1">
        <v>43872</v>
      </c>
      <c r="C118">
        <f t="shared" si="3"/>
        <v>2020</v>
      </c>
      <c r="D118" t="str">
        <f t="shared" si="4"/>
        <v>Feb</v>
      </c>
      <c r="E118">
        <f t="shared" si="5"/>
        <v>2</v>
      </c>
    </row>
    <row r="119" spans="1:5" x14ac:dyDescent="0.3">
      <c r="A119">
        <v>118</v>
      </c>
      <c r="B119" s="1">
        <v>45496</v>
      </c>
      <c r="C119">
        <f t="shared" si="3"/>
        <v>2024</v>
      </c>
      <c r="D119" t="str">
        <f t="shared" si="4"/>
        <v>Jul</v>
      </c>
      <c r="E119">
        <f t="shared" si="5"/>
        <v>7</v>
      </c>
    </row>
    <row r="120" spans="1:5" x14ac:dyDescent="0.3">
      <c r="A120">
        <v>119</v>
      </c>
      <c r="B120" s="1">
        <v>44931</v>
      </c>
      <c r="C120">
        <f t="shared" si="3"/>
        <v>2023</v>
      </c>
      <c r="D120" t="str">
        <f t="shared" si="4"/>
        <v>Jan</v>
      </c>
      <c r="E120">
        <f t="shared" si="5"/>
        <v>1</v>
      </c>
    </row>
    <row r="121" spans="1:5" x14ac:dyDescent="0.3">
      <c r="A121">
        <v>120</v>
      </c>
      <c r="B121" s="1">
        <v>45462</v>
      </c>
      <c r="C121">
        <f t="shared" si="3"/>
        <v>2024</v>
      </c>
      <c r="D121" t="str">
        <f t="shared" si="4"/>
        <v>Jun</v>
      </c>
      <c r="E121">
        <f t="shared" si="5"/>
        <v>6</v>
      </c>
    </row>
    <row r="122" spans="1:5" x14ac:dyDescent="0.3">
      <c r="A122">
        <v>121</v>
      </c>
      <c r="B122" s="1">
        <v>44750</v>
      </c>
      <c r="C122">
        <f t="shared" si="3"/>
        <v>2022</v>
      </c>
      <c r="D122" t="str">
        <f t="shared" si="4"/>
        <v>Jul</v>
      </c>
      <c r="E122">
        <f t="shared" si="5"/>
        <v>7</v>
      </c>
    </row>
    <row r="123" spans="1:5" x14ac:dyDescent="0.3">
      <c r="A123">
        <v>122</v>
      </c>
      <c r="B123" s="1">
        <v>44987</v>
      </c>
      <c r="C123">
        <f t="shared" si="3"/>
        <v>2023</v>
      </c>
      <c r="D123" t="str">
        <f t="shared" si="4"/>
        <v>Mar</v>
      </c>
      <c r="E123">
        <f t="shared" si="5"/>
        <v>3</v>
      </c>
    </row>
    <row r="124" spans="1:5" x14ac:dyDescent="0.3">
      <c r="A124">
        <v>123</v>
      </c>
      <c r="B124" s="1">
        <v>44214</v>
      </c>
      <c r="C124">
        <f t="shared" si="3"/>
        <v>2021</v>
      </c>
      <c r="D124" t="str">
        <f t="shared" si="4"/>
        <v>Jan</v>
      </c>
      <c r="E124">
        <f t="shared" si="5"/>
        <v>1</v>
      </c>
    </row>
    <row r="125" spans="1:5" x14ac:dyDescent="0.3">
      <c r="A125">
        <v>124</v>
      </c>
      <c r="B125" s="1">
        <v>44653</v>
      </c>
      <c r="C125">
        <f t="shared" si="3"/>
        <v>2022</v>
      </c>
      <c r="D125" t="str">
        <f t="shared" si="4"/>
        <v>Apr</v>
      </c>
      <c r="E125">
        <f t="shared" si="5"/>
        <v>4</v>
      </c>
    </row>
    <row r="126" spans="1:5" x14ac:dyDescent="0.3">
      <c r="A126">
        <v>125</v>
      </c>
      <c r="B126" s="1">
        <v>44410</v>
      </c>
      <c r="C126">
        <f t="shared" si="3"/>
        <v>2021</v>
      </c>
      <c r="D126" t="str">
        <f t="shared" si="4"/>
        <v>Aug</v>
      </c>
      <c r="E126">
        <f t="shared" si="5"/>
        <v>8</v>
      </c>
    </row>
    <row r="127" spans="1:5" x14ac:dyDescent="0.3">
      <c r="A127">
        <v>126</v>
      </c>
      <c r="B127" s="1">
        <v>44396</v>
      </c>
      <c r="C127">
        <f t="shared" si="3"/>
        <v>2021</v>
      </c>
      <c r="D127" t="str">
        <f t="shared" si="4"/>
        <v>Jul</v>
      </c>
      <c r="E127">
        <f t="shared" si="5"/>
        <v>7</v>
      </c>
    </row>
    <row r="128" spans="1:5" x14ac:dyDescent="0.3">
      <c r="A128">
        <v>127</v>
      </c>
      <c r="B128" s="1">
        <v>44262</v>
      </c>
      <c r="C128">
        <f t="shared" si="3"/>
        <v>2021</v>
      </c>
      <c r="D128" t="str">
        <f t="shared" si="4"/>
        <v>Mar</v>
      </c>
      <c r="E128">
        <f t="shared" si="5"/>
        <v>3</v>
      </c>
    </row>
    <row r="129" spans="1:5" x14ac:dyDescent="0.3">
      <c r="A129">
        <v>128</v>
      </c>
      <c r="B129" s="1">
        <v>44709</v>
      </c>
      <c r="C129">
        <f t="shared" si="3"/>
        <v>2022</v>
      </c>
      <c r="D129" t="str">
        <f t="shared" si="4"/>
        <v>May</v>
      </c>
      <c r="E129">
        <f t="shared" si="5"/>
        <v>5</v>
      </c>
    </row>
    <row r="130" spans="1:5" x14ac:dyDescent="0.3">
      <c r="A130">
        <v>129</v>
      </c>
      <c r="B130" s="1">
        <v>45202</v>
      </c>
      <c r="C130">
        <f t="shared" ref="C130:C193" si="6">YEAR(B130)</f>
        <v>2023</v>
      </c>
      <c r="D130" t="str">
        <f t="shared" ref="D130:D193" si="7">TEXT(B130,"MMM")</f>
        <v>Oct</v>
      </c>
      <c r="E130">
        <f t="shared" ref="E130:E193" si="8">MONTH(B130)</f>
        <v>10</v>
      </c>
    </row>
    <row r="131" spans="1:5" x14ac:dyDescent="0.3">
      <c r="A131">
        <v>130</v>
      </c>
      <c r="B131" s="1">
        <v>45090</v>
      </c>
      <c r="C131">
        <f t="shared" si="6"/>
        <v>2023</v>
      </c>
      <c r="D131" t="str">
        <f t="shared" si="7"/>
        <v>Jun</v>
      </c>
      <c r="E131">
        <f t="shared" si="8"/>
        <v>6</v>
      </c>
    </row>
    <row r="132" spans="1:5" x14ac:dyDescent="0.3">
      <c r="A132">
        <v>131</v>
      </c>
      <c r="B132" s="1">
        <v>43895</v>
      </c>
      <c r="C132">
        <f t="shared" si="6"/>
        <v>2020</v>
      </c>
      <c r="D132" t="str">
        <f t="shared" si="7"/>
        <v>Mar</v>
      </c>
      <c r="E132">
        <f t="shared" si="8"/>
        <v>3</v>
      </c>
    </row>
    <row r="133" spans="1:5" x14ac:dyDescent="0.3">
      <c r="A133">
        <v>132</v>
      </c>
      <c r="B133" s="1">
        <v>44038</v>
      </c>
      <c r="C133">
        <f t="shared" si="6"/>
        <v>2020</v>
      </c>
      <c r="D133" t="str">
        <f t="shared" si="7"/>
        <v>Jul</v>
      </c>
      <c r="E133">
        <f t="shared" si="8"/>
        <v>7</v>
      </c>
    </row>
    <row r="134" spans="1:5" x14ac:dyDescent="0.3">
      <c r="A134">
        <v>133</v>
      </c>
      <c r="B134" s="1">
        <v>45555</v>
      </c>
      <c r="C134">
        <f t="shared" si="6"/>
        <v>2024</v>
      </c>
      <c r="D134" t="str">
        <f t="shared" si="7"/>
        <v>Sep</v>
      </c>
      <c r="E134">
        <f t="shared" si="8"/>
        <v>9</v>
      </c>
    </row>
    <row r="135" spans="1:5" x14ac:dyDescent="0.3">
      <c r="A135">
        <v>134</v>
      </c>
      <c r="B135" s="1">
        <v>43863</v>
      </c>
      <c r="C135">
        <f t="shared" si="6"/>
        <v>2020</v>
      </c>
      <c r="D135" t="str">
        <f t="shared" si="7"/>
        <v>Feb</v>
      </c>
      <c r="E135">
        <f t="shared" si="8"/>
        <v>2</v>
      </c>
    </row>
    <row r="136" spans="1:5" x14ac:dyDescent="0.3">
      <c r="A136">
        <v>135</v>
      </c>
      <c r="B136" s="1">
        <v>44974</v>
      </c>
      <c r="C136">
        <f t="shared" si="6"/>
        <v>2023</v>
      </c>
      <c r="D136" t="str">
        <f t="shared" si="7"/>
        <v>Feb</v>
      </c>
      <c r="E136">
        <f t="shared" si="8"/>
        <v>2</v>
      </c>
    </row>
    <row r="137" spans="1:5" x14ac:dyDescent="0.3">
      <c r="A137">
        <v>136</v>
      </c>
      <c r="B137" s="1">
        <v>45165</v>
      </c>
      <c r="C137">
        <f t="shared" si="6"/>
        <v>2023</v>
      </c>
      <c r="D137" t="str">
        <f t="shared" si="7"/>
        <v>Aug</v>
      </c>
      <c r="E137">
        <f t="shared" si="8"/>
        <v>8</v>
      </c>
    </row>
    <row r="138" spans="1:5" x14ac:dyDescent="0.3">
      <c r="A138">
        <v>137</v>
      </c>
      <c r="B138" s="1">
        <v>45269</v>
      </c>
      <c r="C138">
        <f t="shared" si="6"/>
        <v>2023</v>
      </c>
      <c r="D138" t="str">
        <f t="shared" si="7"/>
        <v>Dec</v>
      </c>
      <c r="E138">
        <f t="shared" si="8"/>
        <v>12</v>
      </c>
    </row>
    <row r="139" spans="1:5" x14ac:dyDescent="0.3">
      <c r="A139">
        <v>138</v>
      </c>
      <c r="B139" s="1">
        <v>44219</v>
      </c>
      <c r="C139">
        <f t="shared" si="6"/>
        <v>2021</v>
      </c>
      <c r="D139" t="str">
        <f t="shared" si="7"/>
        <v>Jan</v>
      </c>
      <c r="E139">
        <f t="shared" si="8"/>
        <v>1</v>
      </c>
    </row>
    <row r="140" spans="1:5" x14ac:dyDescent="0.3">
      <c r="A140">
        <v>139</v>
      </c>
      <c r="B140" s="1">
        <v>44684</v>
      </c>
      <c r="C140">
        <f t="shared" si="6"/>
        <v>2022</v>
      </c>
      <c r="D140" t="str">
        <f t="shared" si="7"/>
        <v>May</v>
      </c>
      <c r="E140">
        <f t="shared" si="8"/>
        <v>5</v>
      </c>
    </row>
    <row r="141" spans="1:5" x14ac:dyDescent="0.3">
      <c r="A141">
        <v>140</v>
      </c>
      <c r="B141" s="1">
        <v>44364</v>
      </c>
      <c r="C141">
        <f t="shared" si="6"/>
        <v>2021</v>
      </c>
      <c r="D141" t="str">
        <f t="shared" si="7"/>
        <v>Jun</v>
      </c>
      <c r="E141">
        <f t="shared" si="8"/>
        <v>6</v>
      </c>
    </row>
    <row r="142" spans="1:5" x14ac:dyDescent="0.3">
      <c r="A142">
        <v>141</v>
      </c>
      <c r="B142" s="1">
        <v>45494</v>
      </c>
      <c r="C142">
        <f t="shared" si="6"/>
        <v>2024</v>
      </c>
      <c r="D142" t="str">
        <f t="shared" si="7"/>
        <v>Jul</v>
      </c>
      <c r="E142">
        <f t="shared" si="8"/>
        <v>7</v>
      </c>
    </row>
    <row r="143" spans="1:5" x14ac:dyDescent="0.3">
      <c r="A143">
        <v>142</v>
      </c>
      <c r="B143" s="1">
        <v>44719</v>
      </c>
      <c r="C143">
        <f t="shared" si="6"/>
        <v>2022</v>
      </c>
      <c r="D143" t="str">
        <f t="shared" si="7"/>
        <v>Jun</v>
      </c>
      <c r="E143">
        <f t="shared" si="8"/>
        <v>6</v>
      </c>
    </row>
    <row r="144" spans="1:5" x14ac:dyDescent="0.3">
      <c r="A144">
        <v>143</v>
      </c>
      <c r="B144" s="1">
        <v>44215</v>
      </c>
      <c r="C144">
        <f t="shared" si="6"/>
        <v>2021</v>
      </c>
      <c r="D144" t="str">
        <f t="shared" si="7"/>
        <v>Jan</v>
      </c>
      <c r="E144">
        <f t="shared" si="8"/>
        <v>1</v>
      </c>
    </row>
    <row r="145" spans="1:5" x14ac:dyDescent="0.3">
      <c r="A145">
        <v>144</v>
      </c>
      <c r="B145" s="1">
        <v>44182</v>
      </c>
      <c r="C145">
        <f t="shared" si="6"/>
        <v>2020</v>
      </c>
      <c r="D145" t="str">
        <f t="shared" si="7"/>
        <v>Dec</v>
      </c>
      <c r="E145">
        <f t="shared" si="8"/>
        <v>12</v>
      </c>
    </row>
    <row r="146" spans="1:5" x14ac:dyDescent="0.3">
      <c r="A146">
        <v>145</v>
      </c>
      <c r="B146" s="1">
        <v>44313</v>
      </c>
      <c r="C146">
        <f t="shared" si="6"/>
        <v>2021</v>
      </c>
      <c r="D146" t="str">
        <f t="shared" si="7"/>
        <v>Apr</v>
      </c>
      <c r="E146">
        <f t="shared" si="8"/>
        <v>4</v>
      </c>
    </row>
    <row r="147" spans="1:5" x14ac:dyDescent="0.3">
      <c r="A147">
        <v>146</v>
      </c>
      <c r="B147" s="1">
        <v>43864</v>
      </c>
      <c r="C147">
        <f t="shared" si="6"/>
        <v>2020</v>
      </c>
      <c r="D147" t="str">
        <f t="shared" si="7"/>
        <v>Feb</v>
      </c>
      <c r="E147">
        <f t="shared" si="8"/>
        <v>2</v>
      </c>
    </row>
    <row r="148" spans="1:5" x14ac:dyDescent="0.3">
      <c r="A148">
        <v>147</v>
      </c>
      <c r="B148" s="1">
        <v>44464</v>
      </c>
      <c r="C148">
        <f t="shared" si="6"/>
        <v>2021</v>
      </c>
      <c r="D148" t="str">
        <f t="shared" si="7"/>
        <v>Sep</v>
      </c>
      <c r="E148">
        <f t="shared" si="8"/>
        <v>9</v>
      </c>
    </row>
    <row r="149" spans="1:5" x14ac:dyDescent="0.3">
      <c r="A149">
        <v>148</v>
      </c>
      <c r="B149" s="1">
        <v>45222</v>
      </c>
      <c r="C149">
        <f t="shared" si="6"/>
        <v>2023</v>
      </c>
      <c r="D149" t="str">
        <f t="shared" si="7"/>
        <v>Oct</v>
      </c>
      <c r="E149">
        <f t="shared" si="8"/>
        <v>10</v>
      </c>
    </row>
    <row r="150" spans="1:5" x14ac:dyDescent="0.3">
      <c r="A150">
        <v>149</v>
      </c>
      <c r="B150" s="1">
        <v>45553</v>
      </c>
      <c r="C150">
        <f t="shared" si="6"/>
        <v>2024</v>
      </c>
      <c r="D150" t="str">
        <f t="shared" si="7"/>
        <v>Sep</v>
      </c>
      <c r="E150">
        <f t="shared" si="8"/>
        <v>9</v>
      </c>
    </row>
    <row r="151" spans="1:5" x14ac:dyDescent="0.3">
      <c r="A151">
        <v>150</v>
      </c>
      <c r="B151" s="1">
        <v>44248</v>
      </c>
      <c r="C151">
        <f t="shared" si="6"/>
        <v>2021</v>
      </c>
      <c r="D151" t="str">
        <f t="shared" si="7"/>
        <v>Feb</v>
      </c>
      <c r="E151">
        <f t="shared" si="8"/>
        <v>2</v>
      </c>
    </row>
    <row r="152" spans="1:5" x14ac:dyDescent="0.3">
      <c r="A152">
        <v>151</v>
      </c>
      <c r="B152" s="1">
        <v>45205</v>
      </c>
      <c r="C152">
        <f t="shared" si="6"/>
        <v>2023</v>
      </c>
      <c r="D152" t="str">
        <f t="shared" si="7"/>
        <v>Oct</v>
      </c>
      <c r="E152">
        <f t="shared" si="8"/>
        <v>10</v>
      </c>
    </row>
    <row r="153" spans="1:5" x14ac:dyDescent="0.3">
      <c r="A153">
        <v>152</v>
      </c>
      <c r="B153" s="1">
        <v>45114</v>
      </c>
      <c r="C153">
        <f t="shared" si="6"/>
        <v>2023</v>
      </c>
      <c r="D153" t="str">
        <f t="shared" si="7"/>
        <v>Jul</v>
      </c>
      <c r="E153">
        <f t="shared" si="8"/>
        <v>7</v>
      </c>
    </row>
    <row r="154" spans="1:5" x14ac:dyDescent="0.3">
      <c r="A154">
        <v>153</v>
      </c>
      <c r="B154" s="1">
        <v>45345</v>
      </c>
      <c r="C154">
        <f t="shared" si="6"/>
        <v>2024</v>
      </c>
      <c r="D154" t="str">
        <f t="shared" si="7"/>
        <v>Feb</v>
      </c>
      <c r="E154">
        <f t="shared" si="8"/>
        <v>2</v>
      </c>
    </row>
    <row r="155" spans="1:5" x14ac:dyDescent="0.3">
      <c r="A155">
        <v>154</v>
      </c>
      <c r="B155" s="1">
        <v>45047</v>
      </c>
      <c r="C155">
        <f t="shared" si="6"/>
        <v>2023</v>
      </c>
      <c r="D155" t="str">
        <f t="shared" si="7"/>
        <v>May</v>
      </c>
      <c r="E155">
        <f t="shared" si="8"/>
        <v>5</v>
      </c>
    </row>
    <row r="156" spans="1:5" x14ac:dyDescent="0.3">
      <c r="A156">
        <v>155</v>
      </c>
      <c r="B156" s="1">
        <v>44613</v>
      </c>
      <c r="C156">
        <f t="shared" si="6"/>
        <v>2022</v>
      </c>
      <c r="D156" t="str">
        <f t="shared" si="7"/>
        <v>Feb</v>
      </c>
      <c r="E156">
        <f t="shared" si="8"/>
        <v>2</v>
      </c>
    </row>
    <row r="157" spans="1:5" x14ac:dyDescent="0.3">
      <c r="A157">
        <v>156</v>
      </c>
      <c r="B157" s="1">
        <v>44764</v>
      </c>
      <c r="C157">
        <f t="shared" si="6"/>
        <v>2022</v>
      </c>
      <c r="D157" t="str">
        <f t="shared" si="7"/>
        <v>Jul</v>
      </c>
      <c r="E157">
        <f t="shared" si="8"/>
        <v>7</v>
      </c>
    </row>
    <row r="158" spans="1:5" x14ac:dyDescent="0.3">
      <c r="A158">
        <v>157</v>
      </c>
      <c r="B158" s="1">
        <v>45491</v>
      </c>
      <c r="C158">
        <f t="shared" si="6"/>
        <v>2024</v>
      </c>
      <c r="D158" t="str">
        <f t="shared" si="7"/>
        <v>Jul</v>
      </c>
      <c r="E158">
        <f t="shared" si="8"/>
        <v>7</v>
      </c>
    </row>
    <row r="159" spans="1:5" x14ac:dyDescent="0.3">
      <c r="A159">
        <v>158</v>
      </c>
      <c r="B159" s="1">
        <v>44833</v>
      </c>
      <c r="C159">
        <f t="shared" si="6"/>
        <v>2022</v>
      </c>
      <c r="D159" t="str">
        <f t="shared" si="7"/>
        <v>Sep</v>
      </c>
      <c r="E159">
        <f t="shared" si="8"/>
        <v>9</v>
      </c>
    </row>
    <row r="160" spans="1:5" x14ac:dyDescent="0.3">
      <c r="A160">
        <v>159</v>
      </c>
      <c r="B160" s="1">
        <v>45248</v>
      </c>
      <c r="C160">
        <f t="shared" si="6"/>
        <v>2023</v>
      </c>
      <c r="D160" t="str">
        <f t="shared" si="7"/>
        <v>Nov</v>
      </c>
      <c r="E160">
        <f t="shared" si="8"/>
        <v>11</v>
      </c>
    </row>
    <row r="161" spans="1:5" x14ac:dyDescent="0.3">
      <c r="A161">
        <v>160</v>
      </c>
      <c r="B161" s="1">
        <v>45214</v>
      </c>
      <c r="C161">
        <f t="shared" si="6"/>
        <v>2023</v>
      </c>
      <c r="D161" t="str">
        <f t="shared" si="7"/>
        <v>Oct</v>
      </c>
      <c r="E161">
        <f t="shared" si="8"/>
        <v>10</v>
      </c>
    </row>
    <row r="162" spans="1:5" x14ac:dyDescent="0.3">
      <c r="A162">
        <v>161</v>
      </c>
      <c r="B162" s="1">
        <v>43925</v>
      </c>
      <c r="C162">
        <f t="shared" si="6"/>
        <v>2020</v>
      </c>
      <c r="D162" t="str">
        <f t="shared" si="7"/>
        <v>Apr</v>
      </c>
      <c r="E162">
        <f t="shared" si="8"/>
        <v>4</v>
      </c>
    </row>
    <row r="163" spans="1:5" x14ac:dyDescent="0.3">
      <c r="A163">
        <v>162</v>
      </c>
      <c r="B163" s="1">
        <v>43994</v>
      </c>
      <c r="C163">
        <f t="shared" si="6"/>
        <v>2020</v>
      </c>
      <c r="D163" t="str">
        <f t="shared" si="7"/>
        <v>Jun</v>
      </c>
      <c r="E163">
        <f t="shared" si="8"/>
        <v>6</v>
      </c>
    </row>
    <row r="164" spans="1:5" x14ac:dyDescent="0.3">
      <c r="A164">
        <v>163</v>
      </c>
      <c r="B164" s="1">
        <v>44948</v>
      </c>
      <c r="C164">
        <f t="shared" si="6"/>
        <v>2023</v>
      </c>
      <c r="D164" t="str">
        <f t="shared" si="7"/>
        <v>Jan</v>
      </c>
      <c r="E164">
        <f t="shared" si="8"/>
        <v>1</v>
      </c>
    </row>
    <row r="165" spans="1:5" x14ac:dyDescent="0.3">
      <c r="A165">
        <v>164</v>
      </c>
      <c r="B165" s="1">
        <v>43892</v>
      </c>
      <c r="C165">
        <f t="shared" si="6"/>
        <v>2020</v>
      </c>
      <c r="D165" t="str">
        <f t="shared" si="7"/>
        <v>Mar</v>
      </c>
      <c r="E165">
        <f t="shared" si="8"/>
        <v>3</v>
      </c>
    </row>
    <row r="166" spans="1:5" x14ac:dyDescent="0.3">
      <c r="A166">
        <v>165</v>
      </c>
      <c r="B166" s="1">
        <v>43976</v>
      </c>
      <c r="C166">
        <f t="shared" si="6"/>
        <v>2020</v>
      </c>
      <c r="D166" t="str">
        <f t="shared" si="7"/>
        <v>May</v>
      </c>
      <c r="E166">
        <f t="shared" si="8"/>
        <v>5</v>
      </c>
    </row>
    <row r="167" spans="1:5" x14ac:dyDescent="0.3">
      <c r="A167">
        <v>166</v>
      </c>
      <c r="B167" s="1">
        <v>43875</v>
      </c>
      <c r="C167">
        <f t="shared" si="6"/>
        <v>2020</v>
      </c>
      <c r="D167" t="str">
        <f t="shared" si="7"/>
        <v>Feb</v>
      </c>
      <c r="E167">
        <f t="shared" si="8"/>
        <v>2</v>
      </c>
    </row>
    <row r="168" spans="1:5" x14ac:dyDescent="0.3">
      <c r="A168">
        <v>167</v>
      </c>
      <c r="B168" s="1">
        <v>44817</v>
      </c>
      <c r="C168">
        <f t="shared" si="6"/>
        <v>2022</v>
      </c>
      <c r="D168" t="str">
        <f t="shared" si="7"/>
        <v>Sep</v>
      </c>
      <c r="E168">
        <f t="shared" si="8"/>
        <v>9</v>
      </c>
    </row>
    <row r="169" spans="1:5" x14ac:dyDescent="0.3">
      <c r="A169">
        <v>168</v>
      </c>
      <c r="B169" s="1">
        <v>45501</v>
      </c>
      <c r="C169">
        <f t="shared" si="6"/>
        <v>2024</v>
      </c>
      <c r="D169" t="str">
        <f t="shared" si="7"/>
        <v>Jul</v>
      </c>
      <c r="E169">
        <f t="shared" si="8"/>
        <v>7</v>
      </c>
    </row>
    <row r="170" spans="1:5" x14ac:dyDescent="0.3">
      <c r="A170">
        <v>169</v>
      </c>
      <c r="B170" s="1">
        <v>45244</v>
      </c>
      <c r="C170">
        <f t="shared" si="6"/>
        <v>2023</v>
      </c>
      <c r="D170" t="str">
        <f t="shared" si="7"/>
        <v>Nov</v>
      </c>
      <c r="E170">
        <f t="shared" si="8"/>
        <v>11</v>
      </c>
    </row>
    <row r="171" spans="1:5" x14ac:dyDescent="0.3">
      <c r="A171">
        <v>170</v>
      </c>
      <c r="B171" s="1">
        <v>45644</v>
      </c>
      <c r="C171">
        <f t="shared" si="6"/>
        <v>2024</v>
      </c>
      <c r="D171" t="str">
        <f t="shared" si="7"/>
        <v>Dec</v>
      </c>
      <c r="E171">
        <f t="shared" si="8"/>
        <v>12</v>
      </c>
    </row>
    <row r="172" spans="1:5" x14ac:dyDescent="0.3">
      <c r="A172">
        <v>171</v>
      </c>
      <c r="B172" s="1">
        <v>44849</v>
      </c>
      <c r="C172">
        <f t="shared" si="6"/>
        <v>2022</v>
      </c>
      <c r="D172" t="str">
        <f t="shared" si="7"/>
        <v>Oct</v>
      </c>
      <c r="E172">
        <f t="shared" si="8"/>
        <v>10</v>
      </c>
    </row>
    <row r="173" spans="1:5" x14ac:dyDescent="0.3">
      <c r="A173">
        <v>172</v>
      </c>
      <c r="B173" s="1">
        <v>45311</v>
      </c>
      <c r="C173">
        <f t="shared" si="6"/>
        <v>2024</v>
      </c>
      <c r="D173" t="str">
        <f t="shared" si="7"/>
        <v>Jan</v>
      </c>
      <c r="E173">
        <f t="shared" si="8"/>
        <v>1</v>
      </c>
    </row>
    <row r="174" spans="1:5" x14ac:dyDescent="0.3">
      <c r="A174">
        <v>173</v>
      </c>
      <c r="B174" s="1">
        <v>45009</v>
      </c>
      <c r="C174">
        <f t="shared" si="6"/>
        <v>2023</v>
      </c>
      <c r="D174" t="str">
        <f t="shared" si="7"/>
        <v>Mar</v>
      </c>
      <c r="E174">
        <f t="shared" si="8"/>
        <v>3</v>
      </c>
    </row>
    <row r="175" spans="1:5" x14ac:dyDescent="0.3">
      <c r="A175">
        <v>174</v>
      </c>
      <c r="B175" s="1">
        <v>44990</v>
      </c>
      <c r="C175">
        <f t="shared" si="6"/>
        <v>2023</v>
      </c>
      <c r="D175" t="str">
        <f t="shared" si="7"/>
        <v>Mar</v>
      </c>
      <c r="E175">
        <f t="shared" si="8"/>
        <v>3</v>
      </c>
    </row>
    <row r="176" spans="1:5" x14ac:dyDescent="0.3">
      <c r="A176">
        <v>175</v>
      </c>
      <c r="B176" s="1">
        <v>45023</v>
      </c>
      <c r="C176">
        <f t="shared" si="6"/>
        <v>2023</v>
      </c>
      <c r="D176" t="str">
        <f t="shared" si="7"/>
        <v>Apr</v>
      </c>
      <c r="E176">
        <f t="shared" si="8"/>
        <v>4</v>
      </c>
    </row>
    <row r="177" spans="1:5" x14ac:dyDescent="0.3">
      <c r="A177">
        <v>176</v>
      </c>
      <c r="B177" s="1">
        <v>44264</v>
      </c>
      <c r="C177">
        <f t="shared" si="6"/>
        <v>2021</v>
      </c>
      <c r="D177" t="str">
        <f t="shared" si="7"/>
        <v>Mar</v>
      </c>
      <c r="E177">
        <f t="shared" si="8"/>
        <v>3</v>
      </c>
    </row>
    <row r="178" spans="1:5" x14ac:dyDescent="0.3">
      <c r="A178">
        <v>177</v>
      </c>
      <c r="B178" s="1">
        <v>44715</v>
      </c>
      <c r="C178">
        <f t="shared" si="6"/>
        <v>2022</v>
      </c>
      <c r="D178" t="str">
        <f t="shared" si="7"/>
        <v>Jun</v>
      </c>
      <c r="E178">
        <f t="shared" si="8"/>
        <v>6</v>
      </c>
    </row>
    <row r="179" spans="1:5" x14ac:dyDescent="0.3">
      <c r="A179">
        <v>178</v>
      </c>
      <c r="B179" s="1">
        <v>44992</v>
      </c>
      <c r="C179">
        <f t="shared" si="6"/>
        <v>2023</v>
      </c>
      <c r="D179" t="str">
        <f t="shared" si="7"/>
        <v>Mar</v>
      </c>
      <c r="E179">
        <f t="shared" si="8"/>
        <v>3</v>
      </c>
    </row>
    <row r="180" spans="1:5" x14ac:dyDescent="0.3">
      <c r="A180">
        <v>179</v>
      </c>
      <c r="B180" s="1">
        <v>45277</v>
      </c>
      <c r="C180">
        <f t="shared" si="6"/>
        <v>2023</v>
      </c>
      <c r="D180" t="str">
        <f t="shared" si="7"/>
        <v>Dec</v>
      </c>
      <c r="E180">
        <f t="shared" si="8"/>
        <v>12</v>
      </c>
    </row>
    <row r="181" spans="1:5" x14ac:dyDescent="0.3">
      <c r="A181">
        <v>180</v>
      </c>
      <c r="B181" s="1">
        <v>44839</v>
      </c>
      <c r="C181">
        <f t="shared" si="6"/>
        <v>2022</v>
      </c>
      <c r="D181" t="str">
        <f t="shared" si="7"/>
        <v>Oct</v>
      </c>
      <c r="E181">
        <f t="shared" si="8"/>
        <v>10</v>
      </c>
    </row>
    <row r="182" spans="1:5" x14ac:dyDescent="0.3">
      <c r="A182">
        <v>181</v>
      </c>
      <c r="B182" s="1">
        <v>44318</v>
      </c>
      <c r="C182">
        <f t="shared" si="6"/>
        <v>2021</v>
      </c>
      <c r="D182" t="str">
        <f t="shared" si="7"/>
        <v>May</v>
      </c>
      <c r="E182">
        <f t="shared" si="8"/>
        <v>5</v>
      </c>
    </row>
    <row r="183" spans="1:5" x14ac:dyDescent="0.3">
      <c r="A183">
        <v>182</v>
      </c>
      <c r="B183" s="1">
        <v>44041</v>
      </c>
      <c r="C183">
        <f t="shared" si="6"/>
        <v>2020</v>
      </c>
      <c r="D183" t="str">
        <f t="shared" si="7"/>
        <v>Jul</v>
      </c>
      <c r="E183">
        <f t="shared" si="8"/>
        <v>7</v>
      </c>
    </row>
    <row r="184" spans="1:5" x14ac:dyDescent="0.3">
      <c r="A184">
        <v>183</v>
      </c>
      <c r="B184" s="1">
        <v>44304</v>
      </c>
      <c r="C184">
        <f t="shared" si="6"/>
        <v>2021</v>
      </c>
      <c r="D184" t="str">
        <f t="shared" si="7"/>
        <v>Apr</v>
      </c>
      <c r="E184">
        <f t="shared" si="8"/>
        <v>4</v>
      </c>
    </row>
    <row r="185" spans="1:5" x14ac:dyDescent="0.3">
      <c r="A185">
        <v>184</v>
      </c>
      <c r="B185" s="1">
        <v>44007</v>
      </c>
      <c r="C185">
        <f t="shared" si="6"/>
        <v>2020</v>
      </c>
      <c r="D185" t="str">
        <f t="shared" si="7"/>
        <v>Jun</v>
      </c>
      <c r="E185">
        <f t="shared" si="8"/>
        <v>6</v>
      </c>
    </row>
    <row r="186" spans="1:5" x14ac:dyDescent="0.3">
      <c r="A186">
        <v>185</v>
      </c>
      <c r="B186" s="1">
        <v>44777</v>
      </c>
      <c r="C186">
        <f t="shared" si="6"/>
        <v>2022</v>
      </c>
      <c r="D186" t="str">
        <f t="shared" si="7"/>
        <v>Aug</v>
      </c>
      <c r="E186">
        <f t="shared" si="8"/>
        <v>8</v>
      </c>
    </row>
    <row r="187" spans="1:5" x14ac:dyDescent="0.3">
      <c r="A187">
        <v>186</v>
      </c>
      <c r="B187" s="1">
        <v>45182</v>
      </c>
      <c r="C187">
        <f t="shared" si="6"/>
        <v>2023</v>
      </c>
      <c r="D187" t="str">
        <f t="shared" si="7"/>
        <v>Sep</v>
      </c>
      <c r="E187">
        <f t="shared" si="8"/>
        <v>9</v>
      </c>
    </row>
    <row r="188" spans="1:5" x14ac:dyDescent="0.3">
      <c r="A188">
        <v>187</v>
      </c>
      <c r="B188" s="1">
        <v>44901</v>
      </c>
      <c r="C188">
        <f t="shared" si="6"/>
        <v>2022</v>
      </c>
      <c r="D188" t="str">
        <f t="shared" si="7"/>
        <v>Dec</v>
      </c>
      <c r="E188">
        <f t="shared" si="8"/>
        <v>12</v>
      </c>
    </row>
    <row r="189" spans="1:5" x14ac:dyDescent="0.3">
      <c r="A189">
        <v>188</v>
      </c>
      <c r="B189" s="1">
        <v>44417</v>
      </c>
      <c r="C189">
        <f t="shared" si="6"/>
        <v>2021</v>
      </c>
      <c r="D189" t="str">
        <f t="shared" si="7"/>
        <v>Aug</v>
      </c>
      <c r="E189">
        <f t="shared" si="8"/>
        <v>8</v>
      </c>
    </row>
    <row r="190" spans="1:5" x14ac:dyDescent="0.3">
      <c r="A190">
        <v>189</v>
      </c>
      <c r="B190" s="1">
        <v>44481</v>
      </c>
      <c r="C190">
        <f t="shared" si="6"/>
        <v>2021</v>
      </c>
      <c r="D190" t="str">
        <f t="shared" si="7"/>
        <v>Oct</v>
      </c>
      <c r="E190">
        <f t="shared" si="8"/>
        <v>10</v>
      </c>
    </row>
    <row r="191" spans="1:5" x14ac:dyDescent="0.3">
      <c r="A191">
        <v>190</v>
      </c>
      <c r="B191" s="1">
        <v>44141</v>
      </c>
      <c r="C191">
        <f t="shared" si="6"/>
        <v>2020</v>
      </c>
      <c r="D191" t="str">
        <f t="shared" si="7"/>
        <v>Nov</v>
      </c>
      <c r="E191">
        <f t="shared" si="8"/>
        <v>11</v>
      </c>
    </row>
    <row r="192" spans="1:5" x14ac:dyDescent="0.3">
      <c r="A192">
        <v>191</v>
      </c>
      <c r="B192" s="1">
        <v>43944</v>
      </c>
      <c r="C192">
        <f t="shared" si="6"/>
        <v>2020</v>
      </c>
      <c r="D192" t="str">
        <f t="shared" si="7"/>
        <v>Apr</v>
      </c>
      <c r="E192">
        <f t="shared" si="8"/>
        <v>4</v>
      </c>
    </row>
    <row r="193" spans="1:5" x14ac:dyDescent="0.3">
      <c r="A193">
        <v>192</v>
      </c>
      <c r="B193" s="1">
        <v>45219</v>
      </c>
      <c r="C193">
        <f t="shared" si="6"/>
        <v>2023</v>
      </c>
      <c r="D193" t="str">
        <f t="shared" si="7"/>
        <v>Oct</v>
      </c>
      <c r="E193">
        <f t="shared" si="8"/>
        <v>10</v>
      </c>
    </row>
    <row r="194" spans="1:5" x14ac:dyDescent="0.3">
      <c r="A194">
        <v>193</v>
      </c>
      <c r="B194" s="1">
        <v>44926</v>
      </c>
      <c r="C194">
        <f t="shared" ref="C194:C257" si="9">YEAR(B194)</f>
        <v>2022</v>
      </c>
      <c r="D194" t="str">
        <f t="shared" ref="D194:D257" si="10">TEXT(B194,"MMM")</f>
        <v>Dec</v>
      </c>
      <c r="E194">
        <f t="shared" ref="E194:E257" si="11">MONTH(B194)</f>
        <v>12</v>
      </c>
    </row>
    <row r="195" spans="1:5" x14ac:dyDescent="0.3">
      <c r="A195">
        <v>194</v>
      </c>
      <c r="B195" s="1">
        <v>43968</v>
      </c>
      <c r="C195">
        <f t="shared" si="9"/>
        <v>2020</v>
      </c>
      <c r="D195" t="str">
        <f t="shared" si="10"/>
        <v>May</v>
      </c>
      <c r="E195">
        <f t="shared" si="11"/>
        <v>5</v>
      </c>
    </row>
    <row r="196" spans="1:5" x14ac:dyDescent="0.3">
      <c r="A196">
        <v>195</v>
      </c>
      <c r="B196" s="1">
        <v>43899</v>
      </c>
      <c r="C196">
        <f t="shared" si="9"/>
        <v>2020</v>
      </c>
      <c r="D196" t="str">
        <f t="shared" si="10"/>
        <v>Mar</v>
      </c>
      <c r="E196">
        <f t="shared" si="11"/>
        <v>3</v>
      </c>
    </row>
    <row r="197" spans="1:5" x14ac:dyDescent="0.3">
      <c r="A197">
        <v>196</v>
      </c>
      <c r="B197" s="1">
        <v>45124</v>
      </c>
      <c r="C197">
        <f t="shared" si="9"/>
        <v>2023</v>
      </c>
      <c r="D197" t="str">
        <f t="shared" si="10"/>
        <v>Jul</v>
      </c>
      <c r="E197">
        <f t="shared" si="11"/>
        <v>7</v>
      </c>
    </row>
    <row r="198" spans="1:5" x14ac:dyDescent="0.3">
      <c r="A198">
        <v>197</v>
      </c>
      <c r="B198" s="1">
        <v>44638</v>
      </c>
      <c r="C198">
        <f t="shared" si="9"/>
        <v>2022</v>
      </c>
      <c r="D198" t="str">
        <f t="shared" si="10"/>
        <v>Mar</v>
      </c>
      <c r="E198">
        <f t="shared" si="11"/>
        <v>3</v>
      </c>
    </row>
    <row r="199" spans="1:5" x14ac:dyDescent="0.3">
      <c r="A199">
        <v>198</v>
      </c>
      <c r="B199" s="1">
        <v>45336</v>
      </c>
      <c r="C199">
        <f t="shared" si="9"/>
        <v>2024</v>
      </c>
      <c r="D199" t="str">
        <f t="shared" si="10"/>
        <v>Feb</v>
      </c>
      <c r="E199">
        <f t="shared" si="11"/>
        <v>2</v>
      </c>
    </row>
    <row r="200" spans="1:5" x14ac:dyDescent="0.3">
      <c r="A200">
        <v>199</v>
      </c>
      <c r="B200" s="1">
        <v>44065</v>
      </c>
      <c r="C200">
        <f t="shared" si="9"/>
        <v>2020</v>
      </c>
      <c r="D200" t="str">
        <f t="shared" si="10"/>
        <v>Aug</v>
      </c>
      <c r="E200">
        <f t="shared" si="11"/>
        <v>8</v>
      </c>
    </row>
    <row r="201" spans="1:5" x14ac:dyDescent="0.3">
      <c r="A201">
        <v>200</v>
      </c>
      <c r="B201" s="1">
        <v>45388</v>
      </c>
      <c r="C201">
        <f t="shared" si="9"/>
        <v>2024</v>
      </c>
      <c r="D201" t="str">
        <f t="shared" si="10"/>
        <v>Apr</v>
      </c>
      <c r="E201">
        <f t="shared" si="11"/>
        <v>4</v>
      </c>
    </row>
    <row r="202" spans="1:5" x14ac:dyDescent="0.3">
      <c r="A202">
        <v>201</v>
      </c>
      <c r="B202" s="1">
        <v>45584</v>
      </c>
      <c r="C202">
        <f t="shared" si="9"/>
        <v>2024</v>
      </c>
      <c r="D202" t="str">
        <f t="shared" si="10"/>
        <v>Oct</v>
      </c>
      <c r="E202">
        <f t="shared" si="11"/>
        <v>10</v>
      </c>
    </row>
    <row r="203" spans="1:5" x14ac:dyDescent="0.3">
      <c r="A203">
        <v>202</v>
      </c>
      <c r="B203" s="1">
        <v>44910</v>
      </c>
      <c r="C203">
        <f t="shared" si="9"/>
        <v>2022</v>
      </c>
      <c r="D203" t="str">
        <f t="shared" si="10"/>
        <v>Dec</v>
      </c>
      <c r="E203">
        <f t="shared" si="11"/>
        <v>12</v>
      </c>
    </row>
    <row r="204" spans="1:5" x14ac:dyDescent="0.3">
      <c r="A204">
        <v>203</v>
      </c>
      <c r="B204" s="1">
        <v>45012</v>
      </c>
      <c r="C204">
        <f t="shared" si="9"/>
        <v>2023</v>
      </c>
      <c r="D204" t="str">
        <f t="shared" si="10"/>
        <v>Mar</v>
      </c>
      <c r="E204">
        <f t="shared" si="11"/>
        <v>3</v>
      </c>
    </row>
    <row r="205" spans="1:5" x14ac:dyDescent="0.3">
      <c r="A205">
        <v>204</v>
      </c>
      <c r="B205" s="1">
        <v>44205</v>
      </c>
      <c r="C205">
        <f t="shared" si="9"/>
        <v>2021</v>
      </c>
      <c r="D205" t="str">
        <f t="shared" si="10"/>
        <v>Jan</v>
      </c>
      <c r="E205">
        <f t="shared" si="11"/>
        <v>1</v>
      </c>
    </row>
    <row r="206" spans="1:5" x14ac:dyDescent="0.3">
      <c r="A206">
        <v>205</v>
      </c>
      <c r="B206" s="1">
        <v>43921</v>
      </c>
      <c r="C206">
        <f t="shared" si="9"/>
        <v>2020</v>
      </c>
      <c r="D206" t="str">
        <f t="shared" si="10"/>
        <v>Mar</v>
      </c>
      <c r="E206">
        <f t="shared" si="11"/>
        <v>3</v>
      </c>
    </row>
    <row r="207" spans="1:5" x14ac:dyDescent="0.3">
      <c r="A207">
        <v>206</v>
      </c>
      <c r="B207" s="1">
        <v>44323</v>
      </c>
      <c r="C207">
        <f t="shared" si="9"/>
        <v>2021</v>
      </c>
      <c r="D207" t="str">
        <f t="shared" si="10"/>
        <v>May</v>
      </c>
      <c r="E207">
        <f t="shared" si="11"/>
        <v>5</v>
      </c>
    </row>
    <row r="208" spans="1:5" x14ac:dyDescent="0.3">
      <c r="A208">
        <v>207</v>
      </c>
      <c r="B208" s="1">
        <v>44629</v>
      </c>
      <c r="C208">
        <f t="shared" si="9"/>
        <v>2022</v>
      </c>
      <c r="D208" t="str">
        <f t="shared" si="10"/>
        <v>Mar</v>
      </c>
      <c r="E208">
        <f t="shared" si="11"/>
        <v>3</v>
      </c>
    </row>
    <row r="209" spans="1:5" x14ac:dyDescent="0.3">
      <c r="A209">
        <v>208</v>
      </c>
      <c r="B209" s="1">
        <v>45299</v>
      </c>
      <c r="C209">
        <f t="shared" si="9"/>
        <v>2024</v>
      </c>
      <c r="D209" t="str">
        <f t="shared" si="10"/>
        <v>Jan</v>
      </c>
      <c r="E209">
        <f t="shared" si="11"/>
        <v>1</v>
      </c>
    </row>
    <row r="210" spans="1:5" x14ac:dyDescent="0.3">
      <c r="A210">
        <v>209</v>
      </c>
      <c r="B210" s="1">
        <v>45032</v>
      </c>
      <c r="C210">
        <f t="shared" si="9"/>
        <v>2023</v>
      </c>
      <c r="D210" t="str">
        <f t="shared" si="10"/>
        <v>Apr</v>
      </c>
      <c r="E210">
        <f t="shared" si="11"/>
        <v>4</v>
      </c>
    </row>
    <row r="211" spans="1:5" x14ac:dyDescent="0.3">
      <c r="A211">
        <v>210</v>
      </c>
      <c r="B211" s="1">
        <v>44443</v>
      </c>
      <c r="C211">
        <f t="shared" si="9"/>
        <v>2021</v>
      </c>
      <c r="D211" t="str">
        <f t="shared" si="10"/>
        <v>Sep</v>
      </c>
      <c r="E211">
        <f t="shared" si="11"/>
        <v>9</v>
      </c>
    </row>
    <row r="212" spans="1:5" x14ac:dyDescent="0.3">
      <c r="A212">
        <v>211</v>
      </c>
      <c r="B212" s="1">
        <v>45452</v>
      </c>
      <c r="C212">
        <f t="shared" si="9"/>
        <v>2024</v>
      </c>
      <c r="D212" t="str">
        <f t="shared" si="10"/>
        <v>Jun</v>
      </c>
      <c r="E212">
        <f t="shared" si="11"/>
        <v>6</v>
      </c>
    </row>
    <row r="213" spans="1:5" x14ac:dyDescent="0.3">
      <c r="A213">
        <v>212</v>
      </c>
      <c r="B213" s="1">
        <v>45276</v>
      </c>
      <c r="C213">
        <f t="shared" si="9"/>
        <v>2023</v>
      </c>
      <c r="D213" t="str">
        <f t="shared" si="10"/>
        <v>Dec</v>
      </c>
      <c r="E213">
        <f t="shared" si="11"/>
        <v>12</v>
      </c>
    </row>
    <row r="214" spans="1:5" x14ac:dyDescent="0.3">
      <c r="A214">
        <v>213</v>
      </c>
      <c r="B214" s="1">
        <v>44437</v>
      </c>
      <c r="C214">
        <f t="shared" si="9"/>
        <v>2021</v>
      </c>
      <c r="D214" t="str">
        <f t="shared" si="10"/>
        <v>Aug</v>
      </c>
      <c r="E214">
        <f t="shared" si="11"/>
        <v>8</v>
      </c>
    </row>
    <row r="215" spans="1:5" x14ac:dyDescent="0.3">
      <c r="A215">
        <v>214</v>
      </c>
      <c r="B215" s="1">
        <v>43922</v>
      </c>
      <c r="C215">
        <f t="shared" si="9"/>
        <v>2020</v>
      </c>
      <c r="D215" t="str">
        <f t="shared" si="10"/>
        <v>Apr</v>
      </c>
      <c r="E215">
        <f t="shared" si="11"/>
        <v>4</v>
      </c>
    </row>
    <row r="216" spans="1:5" x14ac:dyDescent="0.3">
      <c r="A216">
        <v>215</v>
      </c>
      <c r="B216" s="1">
        <v>45302</v>
      </c>
      <c r="C216">
        <f t="shared" si="9"/>
        <v>2024</v>
      </c>
      <c r="D216" t="str">
        <f t="shared" si="10"/>
        <v>Jan</v>
      </c>
      <c r="E216">
        <f t="shared" si="11"/>
        <v>1</v>
      </c>
    </row>
    <row r="217" spans="1:5" x14ac:dyDescent="0.3">
      <c r="A217">
        <v>216</v>
      </c>
      <c r="B217" s="1">
        <v>44705</v>
      </c>
      <c r="C217">
        <f t="shared" si="9"/>
        <v>2022</v>
      </c>
      <c r="D217" t="str">
        <f t="shared" si="10"/>
        <v>May</v>
      </c>
      <c r="E217">
        <f t="shared" si="11"/>
        <v>5</v>
      </c>
    </row>
    <row r="218" spans="1:5" x14ac:dyDescent="0.3">
      <c r="A218">
        <v>217</v>
      </c>
      <c r="B218" s="1">
        <v>43918</v>
      </c>
      <c r="C218">
        <f t="shared" si="9"/>
        <v>2020</v>
      </c>
      <c r="D218" t="str">
        <f t="shared" si="10"/>
        <v>Mar</v>
      </c>
      <c r="E218">
        <f t="shared" si="11"/>
        <v>3</v>
      </c>
    </row>
    <row r="219" spans="1:5" x14ac:dyDescent="0.3">
      <c r="A219">
        <v>218</v>
      </c>
      <c r="B219" s="1">
        <v>44081</v>
      </c>
      <c r="C219">
        <f t="shared" si="9"/>
        <v>2020</v>
      </c>
      <c r="D219" t="str">
        <f t="shared" si="10"/>
        <v>Sep</v>
      </c>
      <c r="E219">
        <f t="shared" si="11"/>
        <v>9</v>
      </c>
    </row>
    <row r="220" spans="1:5" x14ac:dyDescent="0.3">
      <c r="A220">
        <v>219</v>
      </c>
      <c r="B220" s="1">
        <v>44896</v>
      </c>
      <c r="C220">
        <f t="shared" si="9"/>
        <v>2022</v>
      </c>
      <c r="D220" t="str">
        <f t="shared" si="10"/>
        <v>Dec</v>
      </c>
      <c r="E220">
        <f t="shared" si="11"/>
        <v>12</v>
      </c>
    </row>
    <row r="221" spans="1:5" x14ac:dyDescent="0.3">
      <c r="A221">
        <v>220</v>
      </c>
      <c r="B221" s="1">
        <v>45597</v>
      </c>
      <c r="C221">
        <f t="shared" si="9"/>
        <v>2024</v>
      </c>
      <c r="D221" t="str">
        <f t="shared" si="10"/>
        <v>Nov</v>
      </c>
      <c r="E221">
        <f t="shared" si="11"/>
        <v>11</v>
      </c>
    </row>
    <row r="222" spans="1:5" x14ac:dyDescent="0.3">
      <c r="A222">
        <v>221</v>
      </c>
      <c r="B222" s="1">
        <v>45148</v>
      </c>
      <c r="C222">
        <f t="shared" si="9"/>
        <v>2023</v>
      </c>
      <c r="D222" t="str">
        <f t="shared" si="10"/>
        <v>Aug</v>
      </c>
      <c r="E222">
        <f t="shared" si="11"/>
        <v>8</v>
      </c>
    </row>
    <row r="223" spans="1:5" x14ac:dyDescent="0.3">
      <c r="A223">
        <v>222</v>
      </c>
      <c r="B223" s="1">
        <v>44920</v>
      </c>
      <c r="C223">
        <f t="shared" si="9"/>
        <v>2022</v>
      </c>
      <c r="D223" t="str">
        <f t="shared" si="10"/>
        <v>Dec</v>
      </c>
      <c r="E223">
        <f t="shared" si="11"/>
        <v>12</v>
      </c>
    </row>
    <row r="224" spans="1:5" x14ac:dyDescent="0.3">
      <c r="A224">
        <v>223</v>
      </c>
      <c r="B224" s="1">
        <v>44412</v>
      </c>
      <c r="C224">
        <f t="shared" si="9"/>
        <v>2021</v>
      </c>
      <c r="D224" t="str">
        <f t="shared" si="10"/>
        <v>Aug</v>
      </c>
      <c r="E224">
        <f t="shared" si="11"/>
        <v>8</v>
      </c>
    </row>
    <row r="225" spans="1:5" x14ac:dyDescent="0.3">
      <c r="A225">
        <v>224</v>
      </c>
      <c r="B225" s="1">
        <v>45199</v>
      </c>
      <c r="C225">
        <f t="shared" si="9"/>
        <v>2023</v>
      </c>
      <c r="D225" t="str">
        <f t="shared" si="10"/>
        <v>Sep</v>
      </c>
      <c r="E225">
        <f t="shared" si="11"/>
        <v>9</v>
      </c>
    </row>
    <row r="226" spans="1:5" x14ac:dyDescent="0.3">
      <c r="A226">
        <v>225</v>
      </c>
      <c r="B226" s="1">
        <v>44231</v>
      </c>
      <c r="C226">
        <f t="shared" si="9"/>
        <v>2021</v>
      </c>
      <c r="D226" t="str">
        <f t="shared" si="10"/>
        <v>Feb</v>
      </c>
      <c r="E226">
        <f t="shared" si="11"/>
        <v>2</v>
      </c>
    </row>
    <row r="227" spans="1:5" x14ac:dyDescent="0.3">
      <c r="A227">
        <v>226</v>
      </c>
      <c r="B227" s="1">
        <v>43839</v>
      </c>
      <c r="C227">
        <f t="shared" si="9"/>
        <v>2020</v>
      </c>
      <c r="D227" t="str">
        <f t="shared" si="10"/>
        <v>Jan</v>
      </c>
      <c r="E227">
        <f t="shared" si="11"/>
        <v>1</v>
      </c>
    </row>
    <row r="228" spans="1:5" x14ac:dyDescent="0.3">
      <c r="A228">
        <v>227</v>
      </c>
      <c r="B228" s="1">
        <v>44098</v>
      </c>
      <c r="C228">
        <f t="shared" si="9"/>
        <v>2020</v>
      </c>
      <c r="D228" t="str">
        <f t="shared" si="10"/>
        <v>Sep</v>
      </c>
      <c r="E228">
        <f t="shared" si="11"/>
        <v>9</v>
      </c>
    </row>
    <row r="229" spans="1:5" x14ac:dyDescent="0.3">
      <c r="A229">
        <v>228</v>
      </c>
      <c r="B229" s="1">
        <v>44703</v>
      </c>
      <c r="C229">
        <f t="shared" si="9"/>
        <v>2022</v>
      </c>
      <c r="D229" t="str">
        <f t="shared" si="10"/>
        <v>May</v>
      </c>
      <c r="E229">
        <f t="shared" si="11"/>
        <v>5</v>
      </c>
    </row>
    <row r="230" spans="1:5" x14ac:dyDescent="0.3">
      <c r="A230">
        <v>229</v>
      </c>
      <c r="B230" s="1">
        <v>44122</v>
      </c>
      <c r="C230">
        <f t="shared" si="9"/>
        <v>2020</v>
      </c>
      <c r="D230" t="str">
        <f t="shared" si="10"/>
        <v>Oct</v>
      </c>
      <c r="E230">
        <f t="shared" si="11"/>
        <v>10</v>
      </c>
    </row>
    <row r="231" spans="1:5" x14ac:dyDescent="0.3">
      <c r="A231">
        <v>230</v>
      </c>
      <c r="B231" s="1">
        <v>45503</v>
      </c>
      <c r="C231">
        <f t="shared" si="9"/>
        <v>2024</v>
      </c>
      <c r="D231" t="str">
        <f t="shared" si="10"/>
        <v>Jul</v>
      </c>
      <c r="E231">
        <f t="shared" si="11"/>
        <v>7</v>
      </c>
    </row>
    <row r="232" spans="1:5" x14ac:dyDescent="0.3">
      <c r="A232">
        <v>231</v>
      </c>
      <c r="B232" s="1">
        <v>45413</v>
      </c>
      <c r="C232">
        <f t="shared" si="9"/>
        <v>2024</v>
      </c>
      <c r="D232" t="str">
        <f t="shared" si="10"/>
        <v>May</v>
      </c>
      <c r="E232">
        <f t="shared" si="11"/>
        <v>5</v>
      </c>
    </row>
    <row r="233" spans="1:5" x14ac:dyDescent="0.3">
      <c r="A233">
        <v>232</v>
      </c>
      <c r="B233" s="1">
        <v>45360</v>
      </c>
      <c r="C233">
        <f t="shared" si="9"/>
        <v>2024</v>
      </c>
      <c r="D233" t="str">
        <f t="shared" si="10"/>
        <v>Mar</v>
      </c>
      <c r="E233">
        <f t="shared" si="11"/>
        <v>3</v>
      </c>
    </row>
    <row r="234" spans="1:5" x14ac:dyDescent="0.3">
      <c r="A234">
        <v>233</v>
      </c>
      <c r="B234" s="1">
        <v>45409</v>
      </c>
      <c r="C234">
        <f t="shared" si="9"/>
        <v>2024</v>
      </c>
      <c r="D234" t="str">
        <f t="shared" si="10"/>
        <v>Apr</v>
      </c>
      <c r="E234">
        <f t="shared" si="11"/>
        <v>4</v>
      </c>
    </row>
    <row r="235" spans="1:5" x14ac:dyDescent="0.3">
      <c r="A235">
        <v>234</v>
      </c>
      <c r="B235" s="1">
        <v>44466</v>
      </c>
      <c r="C235">
        <f t="shared" si="9"/>
        <v>2021</v>
      </c>
      <c r="D235" t="str">
        <f t="shared" si="10"/>
        <v>Sep</v>
      </c>
      <c r="E235">
        <f t="shared" si="11"/>
        <v>9</v>
      </c>
    </row>
    <row r="236" spans="1:5" x14ac:dyDescent="0.3">
      <c r="A236">
        <v>235</v>
      </c>
      <c r="B236" s="1">
        <v>44201</v>
      </c>
      <c r="C236">
        <f t="shared" si="9"/>
        <v>2021</v>
      </c>
      <c r="D236" t="str">
        <f t="shared" si="10"/>
        <v>Jan</v>
      </c>
      <c r="E236">
        <f t="shared" si="11"/>
        <v>1</v>
      </c>
    </row>
    <row r="237" spans="1:5" x14ac:dyDescent="0.3">
      <c r="A237">
        <v>236</v>
      </c>
      <c r="B237" s="1">
        <v>45387</v>
      </c>
      <c r="C237">
        <f t="shared" si="9"/>
        <v>2024</v>
      </c>
      <c r="D237" t="str">
        <f t="shared" si="10"/>
        <v>Apr</v>
      </c>
      <c r="E237">
        <f t="shared" si="11"/>
        <v>4</v>
      </c>
    </row>
    <row r="238" spans="1:5" x14ac:dyDescent="0.3">
      <c r="A238">
        <v>237</v>
      </c>
      <c r="B238" s="1">
        <v>44861</v>
      </c>
      <c r="C238">
        <f t="shared" si="9"/>
        <v>2022</v>
      </c>
      <c r="D238" t="str">
        <f t="shared" si="10"/>
        <v>Oct</v>
      </c>
      <c r="E238">
        <f t="shared" si="11"/>
        <v>10</v>
      </c>
    </row>
    <row r="239" spans="1:5" x14ac:dyDescent="0.3">
      <c r="A239">
        <v>238</v>
      </c>
      <c r="B239" s="1">
        <v>43854</v>
      </c>
      <c r="C239">
        <f t="shared" si="9"/>
        <v>2020</v>
      </c>
      <c r="D239" t="str">
        <f t="shared" si="10"/>
        <v>Jan</v>
      </c>
      <c r="E239">
        <f t="shared" si="11"/>
        <v>1</v>
      </c>
    </row>
    <row r="240" spans="1:5" x14ac:dyDescent="0.3">
      <c r="A240">
        <v>239</v>
      </c>
      <c r="B240" s="1">
        <v>43907</v>
      </c>
      <c r="C240">
        <f t="shared" si="9"/>
        <v>2020</v>
      </c>
      <c r="D240" t="str">
        <f t="shared" si="10"/>
        <v>Mar</v>
      </c>
      <c r="E240">
        <f t="shared" si="11"/>
        <v>3</v>
      </c>
    </row>
    <row r="241" spans="1:5" x14ac:dyDescent="0.3">
      <c r="A241">
        <v>240</v>
      </c>
      <c r="B241" s="1">
        <v>45192</v>
      </c>
      <c r="C241">
        <f t="shared" si="9"/>
        <v>2023</v>
      </c>
      <c r="D241" t="str">
        <f t="shared" si="10"/>
        <v>Sep</v>
      </c>
      <c r="E241">
        <f t="shared" si="11"/>
        <v>9</v>
      </c>
    </row>
    <row r="242" spans="1:5" x14ac:dyDescent="0.3">
      <c r="A242">
        <v>241</v>
      </c>
      <c r="B242" s="1">
        <v>45257</v>
      </c>
      <c r="C242">
        <f t="shared" si="9"/>
        <v>2023</v>
      </c>
      <c r="D242" t="str">
        <f t="shared" si="10"/>
        <v>Nov</v>
      </c>
      <c r="E242">
        <f t="shared" si="11"/>
        <v>11</v>
      </c>
    </row>
    <row r="243" spans="1:5" x14ac:dyDescent="0.3">
      <c r="A243">
        <v>242</v>
      </c>
      <c r="B243" s="1">
        <v>45393</v>
      </c>
      <c r="C243">
        <f t="shared" si="9"/>
        <v>2024</v>
      </c>
      <c r="D243" t="str">
        <f t="shared" si="10"/>
        <v>Apr</v>
      </c>
      <c r="E243">
        <f t="shared" si="11"/>
        <v>4</v>
      </c>
    </row>
    <row r="244" spans="1:5" x14ac:dyDescent="0.3">
      <c r="A244">
        <v>243</v>
      </c>
      <c r="B244" s="1">
        <v>44814</v>
      </c>
      <c r="C244">
        <f t="shared" si="9"/>
        <v>2022</v>
      </c>
      <c r="D244" t="str">
        <f t="shared" si="10"/>
        <v>Sep</v>
      </c>
      <c r="E244">
        <f t="shared" si="11"/>
        <v>9</v>
      </c>
    </row>
    <row r="245" spans="1:5" x14ac:dyDescent="0.3">
      <c r="A245">
        <v>244</v>
      </c>
      <c r="B245" s="1">
        <v>45401</v>
      </c>
      <c r="C245">
        <f t="shared" si="9"/>
        <v>2024</v>
      </c>
      <c r="D245" t="str">
        <f t="shared" si="10"/>
        <v>Apr</v>
      </c>
      <c r="E245">
        <f t="shared" si="11"/>
        <v>4</v>
      </c>
    </row>
    <row r="246" spans="1:5" x14ac:dyDescent="0.3">
      <c r="A246">
        <v>245</v>
      </c>
      <c r="B246" s="1">
        <v>44965</v>
      </c>
      <c r="C246">
        <f t="shared" si="9"/>
        <v>2023</v>
      </c>
      <c r="D246" t="str">
        <f t="shared" si="10"/>
        <v>Feb</v>
      </c>
      <c r="E246">
        <f t="shared" si="11"/>
        <v>2</v>
      </c>
    </row>
    <row r="247" spans="1:5" x14ac:dyDescent="0.3">
      <c r="A247">
        <v>246</v>
      </c>
      <c r="B247" s="1">
        <v>44810</v>
      </c>
      <c r="C247">
        <f t="shared" si="9"/>
        <v>2022</v>
      </c>
      <c r="D247" t="str">
        <f t="shared" si="10"/>
        <v>Sep</v>
      </c>
      <c r="E247">
        <f t="shared" si="11"/>
        <v>9</v>
      </c>
    </row>
    <row r="248" spans="1:5" x14ac:dyDescent="0.3">
      <c r="A248">
        <v>247</v>
      </c>
      <c r="B248" s="1">
        <v>44120</v>
      </c>
      <c r="C248">
        <f t="shared" si="9"/>
        <v>2020</v>
      </c>
      <c r="D248" t="str">
        <f t="shared" si="10"/>
        <v>Oct</v>
      </c>
      <c r="E248">
        <f t="shared" si="11"/>
        <v>10</v>
      </c>
    </row>
    <row r="249" spans="1:5" x14ac:dyDescent="0.3">
      <c r="A249">
        <v>248</v>
      </c>
      <c r="B249" s="1">
        <v>43923</v>
      </c>
      <c r="C249">
        <f t="shared" si="9"/>
        <v>2020</v>
      </c>
      <c r="D249" t="str">
        <f t="shared" si="10"/>
        <v>Apr</v>
      </c>
      <c r="E249">
        <f t="shared" si="11"/>
        <v>4</v>
      </c>
    </row>
    <row r="250" spans="1:5" x14ac:dyDescent="0.3">
      <c r="A250">
        <v>249</v>
      </c>
      <c r="B250" s="1">
        <v>43916</v>
      </c>
      <c r="C250">
        <f t="shared" si="9"/>
        <v>2020</v>
      </c>
      <c r="D250" t="str">
        <f t="shared" si="10"/>
        <v>Mar</v>
      </c>
      <c r="E250">
        <f t="shared" si="11"/>
        <v>3</v>
      </c>
    </row>
    <row r="251" spans="1:5" x14ac:dyDescent="0.3">
      <c r="A251">
        <v>250</v>
      </c>
      <c r="B251" s="1">
        <v>44761</v>
      </c>
      <c r="C251">
        <f t="shared" si="9"/>
        <v>2022</v>
      </c>
      <c r="D251" t="str">
        <f t="shared" si="10"/>
        <v>Jul</v>
      </c>
      <c r="E251">
        <f t="shared" si="11"/>
        <v>7</v>
      </c>
    </row>
    <row r="252" spans="1:5" x14ac:dyDescent="0.3">
      <c r="A252">
        <v>251</v>
      </c>
      <c r="B252" s="1">
        <v>44788</v>
      </c>
      <c r="C252">
        <f t="shared" si="9"/>
        <v>2022</v>
      </c>
      <c r="D252" t="str">
        <f t="shared" si="10"/>
        <v>Aug</v>
      </c>
      <c r="E252">
        <f t="shared" si="11"/>
        <v>8</v>
      </c>
    </row>
    <row r="253" spans="1:5" x14ac:dyDescent="0.3">
      <c r="A253">
        <v>252</v>
      </c>
      <c r="B253" s="1">
        <v>45337</v>
      </c>
      <c r="C253">
        <f t="shared" si="9"/>
        <v>2024</v>
      </c>
      <c r="D253" t="str">
        <f t="shared" si="10"/>
        <v>Feb</v>
      </c>
      <c r="E253">
        <f t="shared" si="11"/>
        <v>2</v>
      </c>
    </row>
    <row r="254" spans="1:5" x14ac:dyDescent="0.3">
      <c r="A254">
        <v>253</v>
      </c>
      <c r="B254" s="1">
        <v>45002</v>
      </c>
      <c r="C254">
        <f t="shared" si="9"/>
        <v>2023</v>
      </c>
      <c r="D254" t="str">
        <f t="shared" si="10"/>
        <v>Mar</v>
      </c>
      <c r="E254">
        <f t="shared" si="11"/>
        <v>3</v>
      </c>
    </row>
    <row r="255" spans="1:5" x14ac:dyDescent="0.3">
      <c r="A255">
        <v>254</v>
      </c>
      <c r="B255" s="1">
        <v>43975</v>
      </c>
      <c r="C255">
        <f t="shared" si="9"/>
        <v>2020</v>
      </c>
      <c r="D255" t="str">
        <f t="shared" si="10"/>
        <v>May</v>
      </c>
      <c r="E255">
        <f t="shared" si="11"/>
        <v>5</v>
      </c>
    </row>
    <row r="256" spans="1:5" x14ac:dyDescent="0.3">
      <c r="A256">
        <v>255</v>
      </c>
      <c r="B256" s="1">
        <v>44088</v>
      </c>
      <c r="C256">
        <f t="shared" si="9"/>
        <v>2020</v>
      </c>
      <c r="D256" t="str">
        <f t="shared" si="10"/>
        <v>Sep</v>
      </c>
      <c r="E256">
        <f t="shared" si="11"/>
        <v>9</v>
      </c>
    </row>
    <row r="257" spans="1:5" x14ac:dyDescent="0.3">
      <c r="A257">
        <v>256</v>
      </c>
      <c r="B257" s="1">
        <v>44492</v>
      </c>
      <c r="C257">
        <f t="shared" si="9"/>
        <v>2021</v>
      </c>
      <c r="D257" t="str">
        <f t="shared" si="10"/>
        <v>Oct</v>
      </c>
      <c r="E257">
        <f t="shared" si="11"/>
        <v>10</v>
      </c>
    </row>
    <row r="258" spans="1:5" x14ac:dyDescent="0.3">
      <c r="A258">
        <v>257</v>
      </c>
      <c r="B258" s="1">
        <v>44433</v>
      </c>
      <c r="C258">
        <f t="shared" ref="C258:C311" si="12">YEAR(B258)</f>
        <v>2021</v>
      </c>
      <c r="D258" t="str">
        <f t="shared" ref="D258:D311" si="13">TEXT(B258,"MMM")</f>
        <v>Aug</v>
      </c>
      <c r="E258">
        <f t="shared" ref="E258:E311" si="14">MONTH(B258)</f>
        <v>8</v>
      </c>
    </row>
    <row r="259" spans="1:5" x14ac:dyDescent="0.3">
      <c r="A259">
        <v>258</v>
      </c>
      <c r="B259" s="1">
        <v>44721</v>
      </c>
      <c r="C259">
        <f t="shared" si="12"/>
        <v>2022</v>
      </c>
      <c r="D259" t="str">
        <f t="shared" si="13"/>
        <v>Jun</v>
      </c>
      <c r="E259">
        <f t="shared" si="14"/>
        <v>6</v>
      </c>
    </row>
    <row r="260" spans="1:5" x14ac:dyDescent="0.3">
      <c r="A260">
        <v>259</v>
      </c>
      <c r="B260" s="1">
        <v>43982</v>
      </c>
      <c r="C260">
        <f t="shared" si="12"/>
        <v>2020</v>
      </c>
      <c r="D260" t="str">
        <f t="shared" si="13"/>
        <v>May</v>
      </c>
      <c r="E260">
        <f t="shared" si="14"/>
        <v>5</v>
      </c>
    </row>
    <row r="261" spans="1:5" x14ac:dyDescent="0.3">
      <c r="A261">
        <v>260</v>
      </c>
      <c r="B261" s="1">
        <v>44807</v>
      </c>
      <c r="C261">
        <f t="shared" si="12"/>
        <v>2022</v>
      </c>
      <c r="D261" t="str">
        <f t="shared" si="13"/>
        <v>Sep</v>
      </c>
      <c r="E261">
        <f t="shared" si="14"/>
        <v>9</v>
      </c>
    </row>
    <row r="262" spans="1:5" x14ac:dyDescent="0.3">
      <c r="A262">
        <v>261</v>
      </c>
      <c r="B262" s="1">
        <v>44337</v>
      </c>
      <c r="C262">
        <f t="shared" si="12"/>
        <v>2021</v>
      </c>
      <c r="D262" t="str">
        <f t="shared" si="13"/>
        <v>May</v>
      </c>
      <c r="E262">
        <f t="shared" si="14"/>
        <v>5</v>
      </c>
    </row>
    <row r="263" spans="1:5" x14ac:dyDescent="0.3">
      <c r="A263">
        <v>262</v>
      </c>
      <c r="B263" s="1">
        <v>44981</v>
      </c>
      <c r="C263">
        <f t="shared" si="12"/>
        <v>2023</v>
      </c>
      <c r="D263" t="str">
        <f t="shared" si="13"/>
        <v>Feb</v>
      </c>
      <c r="E263">
        <f t="shared" si="14"/>
        <v>2</v>
      </c>
    </row>
    <row r="264" spans="1:5" x14ac:dyDescent="0.3">
      <c r="A264">
        <v>263</v>
      </c>
      <c r="B264" s="1">
        <v>44968</v>
      </c>
      <c r="C264">
        <f t="shared" si="12"/>
        <v>2023</v>
      </c>
      <c r="D264" t="str">
        <f t="shared" si="13"/>
        <v>Feb</v>
      </c>
      <c r="E264">
        <f t="shared" si="14"/>
        <v>2</v>
      </c>
    </row>
    <row r="265" spans="1:5" x14ac:dyDescent="0.3">
      <c r="A265">
        <v>264</v>
      </c>
      <c r="B265" s="1">
        <v>44502</v>
      </c>
      <c r="C265">
        <f t="shared" si="12"/>
        <v>2021</v>
      </c>
      <c r="D265" t="str">
        <f t="shared" si="13"/>
        <v>Nov</v>
      </c>
      <c r="E265">
        <f t="shared" si="14"/>
        <v>11</v>
      </c>
    </row>
    <row r="266" spans="1:5" x14ac:dyDescent="0.3">
      <c r="A266">
        <v>265</v>
      </c>
      <c r="B266" s="1">
        <v>44726</v>
      </c>
      <c r="C266">
        <f t="shared" si="12"/>
        <v>2022</v>
      </c>
      <c r="D266" t="str">
        <f t="shared" si="13"/>
        <v>Jun</v>
      </c>
      <c r="E266">
        <f t="shared" si="14"/>
        <v>6</v>
      </c>
    </row>
    <row r="267" spans="1:5" x14ac:dyDescent="0.3">
      <c r="A267">
        <v>266</v>
      </c>
      <c r="B267" s="1">
        <v>44002</v>
      </c>
      <c r="C267">
        <f t="shared" si="12"/>
        <v>2020</v>
      </c>
      <c r="D267" t="str">
        <f t="shared" si="13"/>
        <v>Jun</v>
      </c>
      <c r="E267">
        <f t="shared" si="14"/>
        <v>6</v>
      </c>
    </row>
    <row r="268" spans="1:5" x14ac:dyDescent="0.3">
      <c r="A268">
        <v>267</v>
      </c>
      <c r="B268" s="1">
        <v>44015</v>
      </c>
      <c r="C268">
        <f t="shared" si="12"/>
        <v>2020</v>
      </c>
      <c r="D268" t="str">
        <f t="shared" si="13"/>
        <v>Jul</v>
      </c>
      <c r="E268">
        <f t="shared" si="14"/>
        <v>7</v>
      </c>
    </row>
    <row r="269" spans="1:5" x14ac:dyDescent="0.3">
      <c r="A269">
        <v>268</v>
      </c>
      <c r="B269" s="1">
        <v>45625</v>
      </c>
      <c r="C269">
        <f t="shared" si="12"/>
        <v>2024</v>
      </c>
      <c r="D269" t="str">
        <f t="shared" si="13"/>
        <v>Nov</v>
      </c>
      <c r="E269">
        <f t="shared" si="14"/>
        <v>11</v>
      </c>
    </row>
    <row r="270" spans="1:5" x14ac:dyDescent="0.3">
      <c r="A270">
        <v>269</v>
      </c>
      <c r="B270" s="1">
        <v>43855</v>
      </c>
      <c r="C270">
        <f t="shared" si="12"/>
        <v>2020</v>
      </c>
      <c r="D270" t="str">
        <f t="shared" si="13"/>
        <v>Jan</v>
      </c>
      <c r="E270">
        <f t="shared" si="14"/>
        <v>1</v>
      </c>
    </row>
    <row r="271" spans="1:5" x14ac:dyDescent="0.3">
      <c r="A271">
        <v>270</v>
      </c>
      <c r="B271" s="1">
        <v>43946</v>
      </c>
      <c r="C271">
        <f t="shared" si="12"/>
        <v>2020</v>
      </c>
      <c r="D271" t="str">
        <f t="shared" si="13"/>
        <v>Apr</v>
      </c>
      <c r="E271">
        <f t="shared" si="14"/>
        <v>4</v>
      </c>
    </row>
    <row r="272" spans="1:5" x14ac:dyDescent="0.3">
      <c r="A272">
        <v>271</v>
      </c>
      <c r="B272" s="1">
        <v>44689</v>
      </c>
      <c r="C272">
        <f t="shared" si="12"/>
        <v>2022</v>
      </c>
      <c r="D272" t="str">
        <f t="shared" si="13"/>
        <v>May</v>
      </c>
      <c r="E272">
        <f t="shared" si="14"/>
        <v>5</v>
      </c>
    </row>
    <row r="273" spans="1:5" x14ac:dyDescent="0.3">
      <c r="A273">
        <v>272</v>
      </c>
      <c r="B273" s="1">
        <v>45180</v>
      </c>
      <c r="C273">
        <f t="shared" si="12"/>
        <v>2023</v>
      </c>
      <c r="D273" t="str">
        <f t="shared" si="13"/>
        <v>Sep</v>
      </c>
      <c r="E273">
        <f t="shared" si="14"/>
        <v>9</v>
      </c>
    </row>
    <row r="274" spans="1:5" x14ac:dyDescent="0.3">
      <c r="A274">
        <v>273</v>
      </c>
      <c r="B274" s="1">
        <v>45344</v>
      </c>
      <c r="C274">
        <f t="shared" si="12"/>
        <v>2024</v>
      </c>
      <c r="D274" t="str">
        <f t="shared" si="13"/>
        <v>Feb</v>
      </c>
      <c r="E274">
        <f t="shared" si="14"/>
        <v>2</v>
      </c>
    </row>
    <row r="275" spans="1:5" x14ac:dyDescent="0.3">
      <c r="A275">
        <v>274</v>
      </c>
      <c r="B275" s="1">
        <v>44639</v>
      </c>
      <c r="C275">
        <f t="shared" si="12"/>
        <v>2022</v>
      </c>
      <c r="D275" t="str">
        <f t="shared" si="13"/>
        <v>Mar</v>
      </c>
      <c r="E275">
        <f t="shared" si="14"/>
        <v>3</v>
      </c>
    </row>
    <row r="276" spans="1:5" x14ac:dyDescent="0.3">
      <c r="A276">
        <v>275</v>
      </c>
      <c r="B276" s="1">
        <v>43963</v>
      </c>
      <c r="C276">
        <f t="shared" si="12"/>
        <v>2020</v>
      </c>
      <c r="D276" t="str">
        <f t="shared" si="13"/>
        <v>May</v>
      </c>
      <c r="E276">
        <f t="shared" si="14"/>
        <v>5</v>
      </c>
    </row>
    <row r="277" spans="1:5" x14ac:dyDescent="0.3">
      <c r="A277">
        <v>276</v>
      </c>
      <c r="B277" s="1">
        <v>44019</v>
      </c>
      <c r="C277">
        <f t="shared" si="12"/>
        <v>2020</v>
      </c>
      <c r="D277" t="str">
        <f t="shared" si="13"/>
        <v>Jul</v>
      </c>
      <c r="E277">
        <f t="shared" si="14"/>
        <v>7</v>
      </c>
    </row>
    <row r="278" spans="1:5" x14ac:dyDescent="0.3">
      <c r="A278">
        <v>277</v>
      </c>
      <c r="B278" s="1">
        <v>44395</v>
      </c>
      <c r="C278">
        <f t="shared" si="12"/>
        <v>2021</v>
      </c>
      <c r="D278" t="str">
        <f t="shared" si="13"/>
        <v>Jul</v>
      </c>
      <c r="E278">
        <f t="shared" si="14"/>
        <v>7</v>
      </c>
    </row>
    <row r="279" spans="1:5" x14ac:dyDescent="0.3">
      <c r="A279">
        <v>278</v>
      </c>
      <c r="B279" s="1">
        <v>43859</v>
      </c>
      <c r="C279">
        <f t="shared" si="12"/>
        <v>2020</v>
      </c>
      <c r="D279" t="str">
        <f t="shared" si="13"/>
        <v>Jan</v>
      </c>
      <c r="E279">
        <f t="shared" si="14"/>
        <v>1</v>
      </c>
    </row>
    <row r="280" spans="1:5" x14ac:dyDescent="0.3">
      <c r="A280">
        <v>279</v>
      </c>
      <c r="B280" s="1">
        <v>45520</v>
      </c>
      <c r="C280">
        <f t="shared" si="12"/>
        <v>2024</v>
      </c>
      <c r="D280" t="str">
        <f t="shared" si="13"/>
        <v>Aug</v>
      </c>
      <c r="E280">
        <f t="shared" si="14"/>
        <v>8</v>
      </c>
    </row>
    <row r="281" spans="1:5" x14ac:dyDescent="0.3">
      <c r="A281">
        <v>280</v>
      </c>
      <c r="B281" s="1">
        <v>45138</v>
      </c>
      <c r="C281">
        <f t="shared" si="12"/>
        <v>2023</v>
      </c>
      <c r="D281" t="str">
        <f t="shared" si="13"/>
        <v>Jul</v>
      </c>
      <c r="E281">
        <f t="shared" si="14"/>
        <v>7</v>
      </c>
    </row>
    <row r="282" spans="1:5" x14ac:dyDescent="0.3">
      <c r="A282">
        <v>281</v>
      </c>
      <c r="B282" s="1">
        <v>44162</v>
      </c>
      <c r="C282">
        <f t="shared" si="12"/>
        <v>2020</v>
      </c>
      <c r="D282" t="str">
        <f t="shared" si="13"/>
        <v>Nov</v>
      </c>
      <c r="E282">
        <f t="shared" si="14"/>
        <v>11</v>
      </c>
    </row>
    <row r="283" spans="1:5" x14ac:dyDescent="0.3">
      <c r="A283">
        <v>282</v>
      </c>
      <c r="B283" s="1">
        <v>44754</v>
      </c>
      <c r="C283">
        <f t="shared" si="12"/>
        <v>2022</v>
      </c>
      <c r="D283" t="str">
        <f t="shared" si="13"/>
        <v>Jul</v>
      </c>
      <c r="E283">
        <f t="shared" si="14"/>
        <v>7</v>
      </c>
    </row>
    <row r="284" spans="1:5" x14ac:dyDescent="0.3">
      <c r="A284">
        <v>283</v>
      </c>
      <c r="B284" s="1">
        <v>44070</v>
      </c>
      <c r="C284">
        <f t="shared" si="12"/>
        <v>2020</v>
      </c>
      <c r="D284" t="str">
        <f t="shared" si="13"/>
        <v>Aug</v>
      </c>
      <c r="E284">
        <f t="shared" si="14"/>
        <v>8</v>
      </c>
    </row>
    <row r="285" spans="1:5" x14ac:dyDescent="0.3">
      <c r="A285">
        <v>284</v>
      </c>
      <c r="B285" s="1">
        <v>43973</v>
      </c>
      <c r="C285">
        <f t="shared" si="12"/>
        <v>2020</v>
      </c>
      <c r="D285" t="str">
        <f t="shared" si="13"/>
        <v>May</v>
      </c>
      <c r="E285">
        <f t="shared" si="14"/>
        <v>5</v>
      </c>
    </row>
    <row r="286" spans="1:5" x14ac:dyDescent="0.3">
      <c r="A286">
        <v>285</v>
      </c>
      <c r="B286" s="1">
        <v>45292</v>
      </c>
      <c r="C286">
        <f t="shared" si="12"/>
        <v>2024</v>
      </c>
      <c r="D286" t="str">
        <f t="shared" si="13"/>
        <v>Jan</v>
      </c>
      <c r="E286">
        <f t="shared" si="14"/>
        <v>1</v>
      </c>
    </row>
    <row r="287" spans="1:5" x14ac:dyDescent="0.3">
      <c r="A287">
        <v>286</v>
      </c>
      <c r="B287" s="1">
        <v>44415</v>
      </c>
      <c r="C287">
        <f t="shared" si="12"/>
        <v>2021</v>
      </c>
      <c r="D287" t="str">
        <f t="shared" si="13"/>
        <v>Aug</v>
      </c>
      <c r="E287">
        <f t="shared" si="14"/>
        <v>8</v>
      </c>
    </row>
    <row r="288" spans="1:5" x14ac:dyDescent="0.3">
      <c r="A288">
        <v>287</v>
      </c>
      <c r="B288" s="1">
        <v>44917</v>
      </c>
      <c r="C288">
        <f t="shared" si="12"/>
        <v>2022</v>
      </c>
      <c r="D288" t="str">
        <f t="shared" si="13"/>
        <v>Dec</v>
      </c>
      <c r="E288">
        <f t="shared" si="14"/>
        <v>12</v>
      </c>
    </row>
    <row r="289" spans="1:5" x14ac:dyDescent="0.3">
      <c r="A289">
        <v>288</v>
      </c>
      <c r="B289" s="1">
        <v>44119</v>
      </c>
      <c r="C289">
        <f t="shared" si="12"/>
        <v>2020</v>
      </c>
      <c r="D289" t="str">
        <f t="shared" si="13"/>
        <v>Oct</v>
      </c>
      <c r="E289">
        <f t="shared" si="14"/>
        <v>10</v>
      </c>
    </row>
    <row r="290" spans="1:5" x14ac:dyDescent="0.3">
      <c r="A290">
        <v>289</v>
      </c>
      <c r="B290" s="1">
        <v>45297</v>
      </c>
      <c r="C290">
        <f t="shared" si="12"/>
        <v>2024</v>
      </c>
      <c r="D290" t="str">
        <f t="shared" si="13"/>
        <v>Jan</v>
      </c>
      <c r="E290">
        <f t="shared" si="14"/>
        <v>1</v>
      </c>
    </row>
    <row r="291" spans="1:5" x14ac:dyDescent="0.3">
      <c r="A291">
        <v>290</v>
      </c>
      <c r="B291" s="1">
        <v>45590</v>
      </c>
      <c r="C291">
        <f t="shared" si="12"/>
        <v>2024</v>
      </c>
      <c r="D291" t="str">
        <f t="shared" si="13"/>
        <v>Oct</v>
      </c>
      <c r="E291">
        <f t="shared" si="14"/>
        <v>10</v>
      </c>
    </row>
    <row r="292" spans="1:5" x14ac:dyDescent="0.3">
      <c r="A292">
        <v>291</v>
      </c>
      <c r="B292" s="1">
        <v>44633</v>
      </c>
      <c r="C292">
        <f t="shared" si="12"/>
        <v>2022</v>
      </c>
      <c r="D292" t="str">
        <f t="shared" si="13"/>
        <v>Mar</v>
      </c>
      <c r="E292">
        <f t="shared" si="14"/>
        <v>3</v>
      </c>
    </row>
    <row r="293" spans="1:5" x14ac:dyDescent="0.3">
      <c r="A293">
        <v>292</v>
      </c>
      <c r="B293" s="1">
        <v>45294</v>
      </c>
      <c r="C293">
        <f t="shared" si="12"/>
        <v>2024</v>
      </c>
      <c r="D293" t="str">
        <f t="shared" si="13"/>
        <v>Jan</v>
      </c>
      <c r="E293">
        <f t="shared" si="14"/>
        <v>1</v>
      </c>
    </row>
    <row r="294" spans="1:5" x14ac:dyDescent="0.3">
      <c r="A294">
        <v>293</v>
      </c>
      <c r="B294" s="1">
        <v>45607</v>
      </c>
      <c r="C294">
        <f t="shared" si="12"/>
        <v>2024</v>
      </c>
      <c r="D294" t="str">
        <f t="shared" si="13"/>
        <v>Nov</v>
      </c>
      <c r="E294">
        <f t="shared" si="14"/>
        <v>11</v>
      </c>
    </row>
    <row r="295" spans="1:5" x14ac:dyDescent="0.3">
      <c r="A295">
        <v>294</v>
      </c>
      <c r="B295" s="1">
        <v>43842</v>
      </c>
      <c r="C295">
        <f t="shared" si="12"/>
        <v>2020</v>
      </c>
      <c r="D295" t="str">
        <f t="shared" si="13"/>
        <v>Jan</v>
      </c>
      <c r="E295">
        <f t="shared" si="14"/>
        <v>1</v>
      </c>
    </row>
    <row r="296" spans="1:5" x14ac:dyDescent="0.3">
      <c r="A296">
        <v>295</v>
      </c>
      <c r="B296" s="1">
        <v>44650</v>
      </c>
      <c r="C296">
        <f t="shared" si="12"/>
        <v>2022</v>
      </c>
      <c r="D296" t="str">
        <f t="shared" si="13"/>
        <v>Mar</v>
      </c>
      <c r="E296">
        <f t="shared" si="14"/>
        <v>3</v>
      </c>
    </row>
    <row r="297" spans="1:5" x14ac:dyDescent="0.3">
      <c r="A297">
        <v>296</v>
      </c>
      <c r="B297" s="1">
        <v>45534</v>
      </c>
      <c r="C297">
        <f t="shared" si="12"/>
        <v>2024</v>
      </c>
      <c r="D297" t="str">
        <f t="shared" si="13"/>
        <v>Aug</v>
      </c>
      <c r="E297">
        <f t="shared" si="14"/>
        <v>8</v>
      </c>
    </row>
    <row r="298" spans="1:5" x14ac:dyDescent="0.3">
      <c r="A298">
        <v>297</v>
      </c>
      <c r="B298" s="1">
        <v>44187</v>
      </c>
      <c r="C298">
        <f t="shared" si="12"/>
        <v>2020</v>
      </c>
      <c r="D298" t="str">
        <f t="shared" si="13"/>
        <v>Dec</v>
      </c>
      <c r="E298">
        <f t="shared" si="14"/>
        <v>12</v>
      </c>
    </row>
    <row r="299" spans="1:5" x14ac:dyDescent="0.3">
      <c r="A299">
        <v>298</v>
      </c>
      <c r="B299" s="1">
        <v>44685</v>
      </c>
      <c r="C299">
        <f t="shared" si="12"/>
        <v>2022</v>
      </c>
      <c r="D299" t="str">
        <f t="shared" si="13"/>
        <v>May</v>
      </c>
      <c r="E299">
        <f t="shared" si="14"/>
        <v>5</v>
      </c>
    </row>
    <row r="300" spans="1:5" x14ac:dyDescent="0.3">
      <c r="A300">
        <v>299</v>
      </c>
      <c r="B300" s="1">
        <v>44150</v>
      </c>
      <c r="C300">
        <f t="shared" si="12"/>
        <v>2020</v>
      </c>
      <c r="D300" t="str">
        <f t="shared" si="13"/>
        <v>Nov</v>
      </c>
      <c r="E300">
        <f t="shared" si="14"/>
        <v>11</v>
      </c>
    </row>
    <row r="301" spans="1:5" x14ac:dyDescent="0.3">
      <c r="A301">
        <v>300</v>
      </c>
      <c r="B301" s="1">
        <v>44853</v>
      </c>
      <c r="C301">
        <f t="shared" si="12"/>
        <v>2022</v>
      </c>
      <c r="D301" t="str">
        <f t="shared" si="13"/>
        <v>Oct</v>
      </c>
      <c r="E301">
        <f t="shared" si="14"/>
        <v>10</v>
      </c>
    </row>
    <row r="302" spans="1:5" x14ac:dyDescent="0.3">
      <c r="A302">
        <v>301</v>
      </c>
      <c r="B302" s="1">
        <v>45595</v>
      </c>
      <c r="C302">
        <f t="shared" si="12"/>
        <v>2024</v>
      </c>
      <c r="D302" t="str">
        <f t="shared" si="13"/>
        <v>Oct</v>
      </c>
      <c r="E302">
        <f t="shared" si="14"/>
        <v>10</v>
      </c>
    </row>
    <row r="303" spans="1:5" x14ac:dyDescent="0.3">
      <c r="A303">
        <v>302</v>
      </c>
      <c r="B303" s="1">
        <v>44118</v>
      </c>
      <c r="C303">
        <f t="shared" si="12"/>
        <v>2020</v>
      </c>
      <c r="D303" t="str">
        <f t="shared" si="13"/>
        <v>Oct</v>
      </c>
      <c r="E303">
        <f t="shared" si="14"/>
        <v>10</v>
      </c>
    </row>
    <row r="304" spans="1:5" x14ac:dyDescent="0.3">
      <c r="A304">
        <v>303</v>
      </c>
      <c r="B304" s="1">
        <v>44551</v>
      </c>
      <c r="C304">
        <f t="shared" si="12"/>
        <v>2021</v>
      </c>
      <c r="D304" t="str">
        <f t="shared" si="13"/>
        <v>Dec</v>
      </c>
      <c r="E304">
        <f t="shared" si="14"/>
        <v>12</v>
      </c>
    </row>
    <row r="305" spans="1:5" x14ac:dyDescent="0.3">
      <c r="A305">
        <v>304</v>
      </c>
      <c r="B305" s="1">
        <v>45526</v>
      </c>
      <c r="C305">
        <f t="shared" si="12"/>
        <v>2024</v>
      </c>
      <c r="D305" t="str">
        <f t="shared" si="13"/>
        <v>Aug</v>
      </c>
      <c r="E305">
        <f t="shared" si="14"/>
        <v>8</v>
      </c>
    </row>
    <row r="306" spans="1:5" x14ac:dyDescent="0.3">
      <c r="A306">
        <v>305</v>
      </c>
      <c r="B306" s="1">
        <v>44475</v>
      </c>
      <c r="C306">
        <f t="shared" si="12"/>
        <v>2021</v>
      </c>
      <c r="D306" t="str">
        <f t="shared" si="13"/>
        <v>Oct</v>
      </c>
      <c r="E306">
        <f t="shared" si="14"/>
        <v>10</v>
      </c>
    </row>
    <row r="307" spans="1:5" x14ac:dyDescent="0.3">
      <c r="A307">
        <v>306</v>
      </c>
      <c r="B307" s="1">
        <v>45265</v>
      </c>
      <c r="C307">
        <f t="shared" si="12"/>
        <v>2023</v>
      </c>
      <c r="D307" t="str">
        <f t="shared" si="13"/>
        <v>Dec</v>
      </c>
      <c r="E307">
        <f t="shared" si="14"/>
        <v>12</v>
      </c>
    </row>
    <row r="308" spans="1:5" x14ac:dyDescent="0.3">
      <c r="A308">
        <v>307</v>
      </c>
      <c r="B308" s="1">
        <v>44550</v>
      </c>
      <c r="C308">
        <f t="shared" si="12"/>
        <v>2021</v>
      </c>
      <c r="D308" t="str">
        <f t="shared" si="13"/>
        <v>Dec</v>
      </c>
      <c r="E308">
        <f t="shared" si="14"/>
        <v>12</v>
      </c>
    </row>
    <row r="309" spans="1:5" x14ac:dyDescent="0.3">
      <c r="A309">
        <v>308</v>
      </c>
      <c r="B309" s="1">
        <v>45228</v>
      </c>
      <c r="C309">
        <f t="shared" si="12"/>
        <v>2023</v>
      </c>
      <c r="D309" t="str">
        <f t="shared" si="13"/>
        <v>Oct</v>
      </c>
      <c r="E309">
        <f t="shared" si="14"/>
        <v>10</v>
      </c>
    </row>
    <row r="310" spans="1:5" x14ac:dyDescent="0.3">
      <c r="A310">
        <v>309</v>
      </c>
      <c r="B310" s="1">
        <v>44342</v>
      </c>
      <c r="C310">
        <f t="shared" si="12"/>
        <v>2021</v>
      </c>
      <c r="D310" t="str">
        <f t="shared" si="13"/>
        <v>May</v>
      </c>
      <c r="E310">
        <f t="shared" si="14"/>
        <v>5</v>
      </c>
    </row>
    <row r="311" spans="1:5" x14ac:dyDescent="0.3">
      <c r="A311">
        <v>310</v>
      </c>
      <c r="B311" s="1">
        <v>44092</v>
      </c>
      <c r="C311">
        <f t="shared" si="12"/>
        <v>2020</v>
      </c>
      <c r="D311" t="str">
        <f t="shared" si="13"/>
        <v>Sep</v>
      </c>
      <c r="E311">
        <f t="shared" si="14"/>
        <v>9</v>
      </c>
    </row>
  </sheetData>
  <autoFilter ref="A1:E311" xr:uid="{26349F7A-AC44-462C-BBEB-26F03024130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33B2-D3CC-4A5E-8F3E-1E21DB71C484}">
  <dimension ref="A1:D216"/>
  <sheetViews>
    <sheetView workbookViewId="0">
      <selection sqref="A1:B1"/>
    </sheetView>
  </sheetViews>
  <sheetFormatPr defaultRowHeight="14.4" x14ac:dyDescent="0.3"/>
  <cols>
    <col min="1" max="1" width="12.33203125" customWidth="1"/>
    <col min="2" max="2" width="22.6640625" bestFit="1" customWidth="1"/>
    <col min="4" max="4" width="22.6640625" bestFit="1" customWidth="1"/>
  </cols>
  <sheetData>
    <row r="1" spans="1:4" x14ac:dyDescent="0.3">
      <c r="A1" s="2" t="s">
        <v>355</v>
      </c>
      <c r="B1" s="2" t="s">
        <v>3</v>
      </c>
      <c r="D1" s="2"/>
    </row>
    <row r="2" spans="1:4" x14ac:dyDescent="0.3">
      <c r="A2">
        <v>1</v>
      </c>
      <c r="B2" t="s">
        <v>222</v>
      </c>
    </row>
    <row r="3" spans="1:4" x14ac:dyDescent="0.3">
      <c r="A3">
        <v>2</v>
      </c>
      <c r="B3" t="s">
        <v>244</v>
      </c>
    </row>
    <row r="4" spans="1:4" x14ac:dyDescent="0.3">
      <c r="A4">
        <v>3</v>
      </c>
      <c r="B4" t="s">
        <v>260</v>
      </c>
    </row>
    <row r="5" spans="1:4" x14ac:dyDescent="0.3">
      <c r="A5">
        <v>4</v>
      </c>
      <c r="B5" t="s">
        <v>121</v>
      </c>
    </row>
    <row r="6" spans="1:4" x14ac:dyDescent="0.3">
      <c r="A6">
        <v>5</v>
      </c>
      <c r="B6" t="s">
        <v>105</v>
      </c>
    </row>
    <row r="7" spans="1:4" x14ac:dyDescent="0.3">
      <c r="A7">
        <v>6</v>
      </c>
      <c r="B7" t="s">
        <v>152</v>
      </c>
    </row>
    <row r="8" spans="1:4" x14ac:dyDescent="0.3">
      <c r="A8">
        <v>7</v>
      </c>
      <c r="B8" t="s">
        <v>212</v>
      </c>
    </row>
    <row r="9" spans="1:4" x14ac:dyDescent="0.3">
      <c r="A9">
        <v>8</v>
      </c>
      <c r="B9" t="s">
        <v>82</v>
      </c>
    </row>
    <row r="10" spans="1:4" x14ac:dyDescent="0.3">
      <c r="A10">
        <v>9</v>
      </c>
      <c r="B10" t="s">
        <v>215</v>
      </c>
    </row>
    <row r="11" spans="1:4" x14ac:dyDescent="0.3">
      <c r="A11">
        <v>10</v>
      </c>
      <c r="B11" t="s">
        <v>161</v>
      </c>
    </row>
    <row r="12" spans="1:4" x14ac:dyDescent="0.3">
      <c r="A12">
        <v>11</v>
      </c>
      <c r="B12" t="s">
        <v>232</v>
      </c>
    </row>
    <row r="13" spans="1:4" x14ac:dyDescent="0.3">
      <c r="A13">
        <v>12</v>
      </c>
      <c r="B13" t="s">
        <v>117</v>
      </c>
    </row>
    <row r="14" spans="1:4" x14ac:dyDescent="0.3">
      <c r="A14">
        <v>13</v>
      </c>
      <c r="B14" t="s">
        <v>268</v>
      </c>
    </row>
    <row r="15" spans="1:4" x14ac:dyDescent="0.3">
      <c r="A15">
        <v>14</v>
      </c>
      <c r="B15" t="s">
        <v>112</v>
      </c>
    </row>
    <row r="16" spans="1:4" x14ac:dyDescent="0.3">
      <c r="A16">
        <v>15</v>
      </c>
      <c r="B16" t="s">
        <v>151</v>
      </c>
    </row>
    <row r="17" spans="1:2" x14ac:dyDescent="0.3">
      <c r="A17">
        <v>16</v>
      </c>
      <c r="B17" t="s">
        <v>192</v>
      </c>
    </row>
    <row r="18" spans="1:2" x14ac:dyDescent="0.3">
      <c r="A18">
        <v>17</v>
      </c>
      <c r="B18" t="s">
        <v>120</v>
      </c>
    </row>
    <row r="19" spans="1:2" x14ac:dyDescent="0.3">
      <c r="A19">
        <v>18</v>
      </c>
      <c r="B19" t="s">
        <v>174</v>
      </c>
    </row>
    <row r="20" spans="1:2" x14ac:dyDescent="0.3">
      <c r="A20">
        <v>19</v>
      </c>
      <c r="B20" t="s">
        <v>211</v>
      </c>
    </row>
    <row r="21" spans="1:2" x14ac:dyDescent="0.3">
      <c r="A21">
        <v>20</v>
      </c>
      <c r="B21" t="s">
        <v>132</v>
      </c>
    </row>
    <row r="22" spans="1:2" x14ac:dyDescent="0.3">
      <c r="A22">
        <v>21</v>
      </c>
      <c r="B22" t="s">
        <v>76</v>
      </c>
    </row>
    <row r="23" spans="1:2" x14ac:dyDescent="0.3">
      <c r="A23">
        <v>22</v>
      </c>
      <c r="B23" t="s">
        <v>146</v>
      </c>
    </row>
    <row r="24" spans="1:2" x14ac:dyDescent="0.3">
      <c r="A24">
        <v>23</v>
      </c>
      <c r="B24" t="s">
        <v>110</v>
      </c>
    </row>
    <row r="25" spans="1:2" x14ac:dyDescent="0.3">
      <c r="A25">
        <v>24</v>
      </c>
      <c r="B25" t="s">
        <v>150</v>
      </c>
    </row>
    <row r="26" spans="1:2" x14ac:dyDescent="0.3">
      <c r="A26">
        <v>25</v>
      </c>
      <c r="B26" t="s">
        <v>197</v>
      </c>
    </row>
    <row r="27" spans="1:2" x14ac:dyDescent="0.3">
      <c r="A27">
        <v>26</v>
      </c>
      <c r="B27" t="s">
        <v>261</v>
      </c>
    </row>
    <row r="28" spans="1:2" x14ac:dyDescent="0.3">
      <c r="A28">
        <v>27</v>
      </c>
      <c r="B28" t="s">
        <v>189</v>
      </c>
    </row>
    <row r="29" spans="1:2" x14ac:dyDescent="0.3">
      <c r="A29">
        <v>28</v>
      </c>
      <c r="B29" t="s">
        <v>88</v>
      </c>
    </row>
    <row r="30" spans="1:2" x14ac:dyDescent="0.3">
      <c r="A30">
        <v>29</v>
      </c>
      <c r="B30" t="s">
        <v>114</v>
      </c>
    </row>
    <row r="31" spans="1:2" x14ac:dyDescent="0.3">
      <c r="A31">
        <v>30</v>
      </c>
      <c r="B31" t="s">
        <v>139</v>
      </c>
    </row>
    <row r="32" spans="1:2" x14ac:dyDescent="0.3">
      <c r="A32">
        <v>31</v>
      </c>
      <c r="B32" t="s">
        <v>92</v>
      </c>
    </row>
    <row r="33" spans="1:2" x14ac:dyDescent="0.3">
      <c r="A33">
        <v>32</v>
      </c>
      <c r="B33" t="s">
        <v>195</v>
      </c>
    </row>
    <row r="34" spans="1:2" x14ac:dyDescent="0.3">
      <c r="A34">
        <v>33</v>
      </c>
      <c r="B34" t="s">
        <v>87</v>
      </c>
    </row>
    <row r="35" spans="1:2" x14ac:dyDescent="0.3">
      <c r="A35">
        <v>34</v>
      </c>
      <c r="B35" t="s">
        <v>216</v>
      </c>
    </row>
    <row r="36" spans="1:2" x14ac:dyDescent="0.3">
      <c r="A36">
        <v>35</v>
      </c>
      <c r="B36" t="s">
        <v>145</v>
      </c>
    </row>
    <row r="37" spans="1:2" x14ac:dyDescent="0.3">
      <c r="A37">
        <v>36</v>
      </c>
      <c r="B37" t="s">
        <v>154</v>
      </c>
    </row>
    <row r="38" spans="1:2" x14ac:dyDescent="0.3">
      <c r="A38">
        <v>37</v>
      </c>
      <c r="B38" t="s">
        <v>225</v>
      </c>
    </row>
    <row r="39" spans="1:2" x14ac:dyDescent="0.3">
      <c r="A39">
        <v>38</v>
      </c>
      <c r="B39" t="s">
        <v>263</v>
      </c>
    </row>
    <row r="40" spans="1:2" x14ac:dyDescent="0.3">
      <c r="A40">
        <v>39</v>
      </c>
      <c r="B40" t="s">
        <v>137</v>
      </c>
    </row>
    <row r="41" spans="1:2" x14ac:dyDescent="0.3">
      <c r="A41">
        <v>40</v>
      </c>
      <c r="B41" t="s">
        <v>71</v>
      </c>
    </row>
    <row r="42" spans="1:2" x14ac:dyDescent="0.3">
      <c r="A42">
        <v>41</v>
      </c>
      <c r="B42" t="s">
        <v>187</v>
      </c>
    </row>
    <row r="43" spans="1:2" x14ac:dyDescent="0.3">
      <c r="A43">
        <v>42</v>
      </c>
      <c r="B43" t="s">
        <v>241</v>
      </c>
    </row>
    <row r="44" spans="1:2" x14ac:dyDescent="0.3">
      <c r="A44">
        <v>43</v>
      </c>
      <c r="B44" t="s">
        <v>79</v>
      </c>
    </row>
    <row r="45" spans="1:2" x14ac:dyDescent="0.3">
      <c r="A45">
        <v>44</v>
      </c>
      <c r="B45" t="s">
        <v>143</v>
      </c>
    </row>
    <row r="46" spans="1:2" x14ac:dyDescent="0.3">
      <c r="A46">
        <v>45</v>
      </c>
      <c r="B46" t="s">
        <v>155</v>
      </c>
    </row>
    <row r="47" spans="1:2" x14ac:dyDescent="0.3">
      <c r="A47">
        <v>46</v>
      </c>
      <c r="B47" t="s">
        <v>113</v>
      </c>
    </row>
    <row r="48" spans="1:2" x14ac:dyDescent="0.3">
      <c r="A48">
        <v>47</v>
      </c>
      <c r="B48" t="s">
        <v>214</v>
      </c>
    </row>
    <row r="49" spans="1:2" x14ac:dyDescent="0.3">
      <c r="A49">
        <v>48</v>
      </c>
      <c r="B49" t="s">
        <v>207</v>
      </c>
    </row>
    <row r="50" spans="1:2" x14ac:dyDescent="0.3">
      <c r="A50">
        <v>49</v>
      </c>
      <c r="B50" t="s">
        <v>73</v>
      </c>
    </row>
    <row r="51" spans="1:2" x14ac:dyDescent="0.3">
      <c r="A51">
        <v>50</v>
      </c>
      <c r="B51" t="s">
        <v>327</v>
      </c>
    </row>
    <row r="52" spans="1:2" x14ac:dyDescent="0.3">
      <c r="A52">
        <v>51</v>
      </c>
      <c r="B52" t="s">
        <v>123</v>
      </c>
    </row>
    <row r="53" spans="1:2" x14ac:dyDescent="0.3">
      <c r="A53">
        <v>52</v>
      </c>
      <c r="B53" t="s">
        <v>324</v>
      </c>
    </row>
    <row r="54" spans="1:2" x14ac:dyDescent="0.3">
      <c r="A54">
        <v>53</v>
      </c>
      <c r="B54" t="s">
        <v>199</v>
      </c>
    </row>
    <row r="55" spans="1:2" x14ac:dyDescent="0.3">
      <c r="A55">
        <v>54</v>
      </c>
      <c r="B55" t="s">
        <v>163</v>
      </c>
    </row>
    <row r="56" spans="1:2" x14ac:dyDescent="0.3">
      <c r="A56">
        <v>55</v>
      </c>
      <c r="B56" t="s">
        <v>326</v>
      </c>
    </row>
    <row r="57" spans="1:2" x14ac:dyDescent="0.3">
      <c r="A57">
        <v>56</v>
      </c>
      <c r="B57" t="s">
        <v>237</v>
      </c>
    </row>
    <row r="58" spans="1:2" x14ac:dyDescent="0.3">
      <c r="A58">
        <v>57</v>
      </c>
      <c r="B58" t="s">
        <v>317</v>
      </c>
    </row>
    <row r="59" spans="1:2" x14ac:dyDescent="0.3">
      <c r="A59">
        <v>58</v>
      </c>
      <c r="B59" t="s">
        <v>319</v>
      </c>
    </row>
    <row r="60" spans="1:2" x14ac:dyDescent="0.3">
      <c r="A60">
        <v>59</v>
      </c>
      <c r="B60" t="s">
        <v>221</v>
      </c>
    </row>
    <row r="61" spans="1:2" x14ac:dyDescent="0.3">
      <c r="A61">
        <v>60</v>
      </c>
      <c r="B61" t="s">
        <v>331</v>
      </c>
    </row>
    <row r="62" spans="1:2" x14ac:dyDescent="0.3">
      <c r="A62">
        <v>61</v>
      </c>
      <c r="B62" t="s">
        <v>323</v>
      </c>
    </row>
    <row r="63" spans="1:2" x14ac:dyDescent="0.3">
      <c r="A63">
        <v>62</v>
      </c>
      <c r="B63" t="s">
        <v>320</v>
      </c>
    </row>
    <row r="64" spans="1:2" x14ac:dyDescent="0.3">
      <c r="A64">
        <v>63</v>
      </c>
      <c r="B64" t="s">
        <v>322</v>
      </c>
    </row>
    <row r="65" spans="1:2" x14ac:dyDescent="0.3">
      <c r="A65">
        <v>64</v>
      </c>
      <c r="B65" t="s">
        <v>91</v>
      </c>
    </row>
    <row r="66" spans="1:2" x14ac:dyDescent="0.3">
      <c r="A66">
        <v>65</v>
      </c>
      <c r="B66" t="s">
        <v>330</v>
      </c>
    </row>
    <row r="67" spans="1:2" x14ac:dyDescent="0.3">
      <c r="A67">
        <v>66</v>
      </c>
      <c r="B67" t="s">
        <v>332</v>
      </c>
    </row>
    <row r="68" spans="1:2" x14ac:dyDescent="0.3">
      <c r="A68">
        <v>67</v>
      </c>
      <c r="B68" t="s">
        <v>325</v>
      </c>
    </row>
    <row r="69" spans="1:2" x14ac:dyDescent="0.3">
      <c r="A69">
        <v>68</v>
      </c>
      <c r="B69" t="s">
        <v>156</v>
      </c>
    </row>
    <row r="70" spans="1:2" x14ac:dyDescent="0.3">
      <c r="A70">
        <v>69</v>
      </c>
      <c r="B70" t="s">
        <v>328</v>
      </c>
    </row>
    <row r="71" spans="1:2" x14ac:dyDescent="0.3">
      <c r="A71">
        <v>70</v>
      </c>
      <c r="B71" t="s">
        <v>333</v>
      </c>
    </row>
    <row r="72" spans="1:2" x14ac:dyDescent="0.3">
      <c r="A72">
        <v>71</v>
      </c>
      <c r="B72" t="s">
        <v>201</v>
      </c>
    </row>
    <row r="73" spans="1:2" x14ac:dyDescent="0.3">
      <c r="A73">
        <v>72</v>
      </c>
      <c r="B73" t="s">
        <v>329</v>
      </c>
    </row>
    <row r="74" spans="1:2" x14ac:dyDescent="0.3">
      <c r="A74">
        <v>73</v>
      </c>
      <c r="B74" t="s">
        <v>108</v>
      </c>
    </row>
    <row r="75" spans="1:2" x14ac:dyDescent="0.3">
      <c r="A75">
        <v>74</v>
      </c>
      <c r="B75" t="s">
        <v>133</v>
      </c>
    </row>
    <row r="76" spans="1:2" x14ac:dyDescent="0.3">
      <c r="A76">
        <v>75</v>
      </c>
      <c r="B76" t="s">
        <v>262</v>
      </c>
    </row>
    <row r="77" spans="1:2" x14ac:dyDescent="0.3">
      <c r="A77">
        <v>76</v>
      </c>
      <c r="B77" t="s">
        <v>321</v>
      </c>
    </row>
    <row r="78" spans="1:2" x14ac:dyDescent="0.3">
      <c r="A78">
        <v>77</v>
      </c>
      <c r="B78" t="s">
        <v>230</v>
      </c>
    </row>
    <row r="79" spans="1:2" x14ac:dyDescent="0.3">
      <c r="A79">
        <v>78</v>
      </c>
      <c r="B79" t="s">
        <v>264</v>
      </c>
    </row>
    <row r="80" spans="1:2" x14ac:dyDescent="0.3">
      <c r="A80">
        <v>79</v>
      </c>
      <c r="B80" t="s">
        <v>136</v>
      </c>
    </row>
    <row r="81" spans="1:2" x14ac:dyDescent="0.3">
      <c r="A81">
        <v>80</v>
      </c>
      <c r="B81" t="s">
        <v>140</v>
      </c>
    </row>
    <row r="82" spans="1:2" x14ac:dyDescent="0.3">
      <c r="A82">
        <v>81</v>
      </c>
      <c r="B82" t="s">
        <v>318</v>
      </c>
    </row>
    <row r="83" spans="1:2" x14ac:dyDescent="0.3">
      <c r="A83">
        <v>82</v>
      </c>
      <c r="B83" t="s">
        <v>75</v>
      </c>
    </row>
    <row r="84" spans="1:2" x14ac:dyDescent="0.3">
      <c r="A84">
        <v>83</v>
      </c>
      <c r="B84" t="s">
        <v>142</v>
      </c>
    </row>
    <row r="85" spans="1:2" x14ac:dyDescent="0.3">
      <c r="A85">
        <v>84</v>
      </c>
      <c r="B85" t="s">
        <v>106</v>
      </c>
    </row>
    <row r="86" spans="1:2" x14ac:dyDescent="0.3">
      <c r="A86">
        <v>85</v>
      </c>
      <c r="B86" t="s">
        <v>184</v>
      </c>
    </row>
    <row r="87" spans="1:2" x14ac:dyDescent="0.3">
      <c r="A87">
        <v>86</v>
      </c>
      <c r="B87" t="s">
        <v>223</v>
      </c>
    </row>
    <row r="88" spans="1:2" x14ac:dyDescent="0.3">
      <c r="A88">
        <v>87</v>
      </c>
      <c r="B88" t="s">
        <v>102</v>
      </c>
    </row>
    <row r="89" spans="1:2" x14ac:dyDescent="0.3">
      <c r="A89">
        <v>88</v>
      </c>
      <c r="B89" t="s">
        <v>191</v>
      </c>
    </row>
    <row r="90" spans="1:2" x14ac:dyDescent="0.3">
      <c r="A90">
        <v>89</v>
      </c>
      <c r="B90" t="s">
        <v>129</v>
      </c>
    </row>
    <row r="91" spans="1:2" x14ac:dyDescent="0.3">
      <c r="A91">
        <v>90</v>
      </c>
      <c r="B91" t="s">
        <v>115</v>
      </c>
    </row>
    <row r="92" spans="1:2" x14ac:dyDescent="0.3">
      <c r="A92">
        <v>91</v>
      </c>
      <c r="B92" t="s">
        <v>93</v>
      </c>
    </row>
    <row r="93" spans="1:2" x14ac:dyDescent="0.3">
      <c r="A93">
        <v>92</v>
      </c>
      <c r="B93" t="s">
        <v>180</v>
      </c>
    </row>
    <row r="94" spans="1:2" x14ac:dyDescent="0.3">
      <c r="A94">
        <v>93</v>
      </c>
      <c r="B94" t="s">
        <v>167</v>
      </c>
    </row>
    <row r="95" spans="1:2" x14ac:dyDescent="0.3">
      <c r="A95">
        <v>94</v>
      </c>
      <c r="B95" t="s">
        <v>100</v>
      </c>
    </row>
    <row r="96" spans="1:2" x14ac:dyDescent="0.3">
      <c r="A96">
        <v>95</v>
      </c>
      <c r="B96" t="s">
        <v>258</v>
      </c>
    </row>
    <row r="97" spans="1:2" x14ac:dyDescent="0.3">
      <c r="A97">
        <v>96</v>
      </c>
      <c r="B97" t="s">
        <v>247</v>
      </c>
    </row>
    <row r="98" spans="1:2" x14ac:dyDescent="0.3">
      <c r="A98">
        <v>97</v>
      </c>
      <c r="B98" t="s">
        <v>193</v>
      </c>
    </row>
    <row r="99" spans="1:2" x14ac:dyDescent="0.3">
      <c r="A99">
        <v>98</v>
      </c>
      <c r="B99" t="s">
        <v>265</v>
      </c>
    </row>
    <row r="100" spans="1:2" x14ac:dyDescent="0.3">
      <c r="A100">
        <v>99</v>
      </c>
      <c r="B100" t="s">
        <v>90</v>
      </c>
    </row>
    <row r="101" spans="1:2" x14ac:dyDescent="0.3">
      <c r="A101">
        <v>100</v>
      </c>
      <c r="B101" t="s">
        <v>122</v>
      </c>
    </row>
    <row r="102" spans="1:2" x14ac:dyDescent="0.3">
      <c r="A102">
        <v>101</v>
      </c>
      <c r="B102" t="s">
        <v>97</v>
      </c>
    </row>
    <row r="103" spans="1:2" x14ac:dyDescent="0.3">
      <c r="A103">
        <v>102</v>
      </c>
      <c r="B103" t="s">
        <v>219</v>
      </c>
    </row>
    <row r="104" spans="1:2" x14ac:dyDescent="0.3">
      <c r="A104">
        <v>103</v>
      </c>
      <c r="B104" t="s">
        <v>78</v>
      </c>
    </row>
    <row r="105" spans="1:2" x14ac:dyDescent="0.3">
      <c r="A105">
        <v>104</v>
      </c>
      <c r="B105" t="s">
        <v>185</v>
      </c>
    </row>
    <row r="106" spans="1:2" x14ac:dyDescent="0.3">
      <c r="A106">
        <v>105</v>
      </c>
      <c r="B106" t="s">
        <v>119</v>
      </c>
    </row>
    <row r="107" spans="1:2" x14ac:dyDescent="0.3">
      <c r="A107">
        <v>106</v>
      </c>
      <c r="B107" t="s">
        <v>183</v>
      </c>
    </row>
    <row r="108" spans="1:2" x14ac:dyDescent="0.3">
      <c r="A108">
        <v>107</v>
      </c>
      <c r="B108" t="s">
        <v>109</v>
      </c>
    </row>
    <row r="109" spans="1:2" x14ac:dyDescent="0.3">
      <c r="A109">
        <v>108</v>
      </c>
      <c r="B109" t="s">
        <v>85</v>
      </c>
    </row>
    <row r="110" spans="1:2" x14ac:dyDescent="0.3">
      <c r="A110">
        <v>109</v>
      </c>
      <c r="B110" t="s">
        <v>168</v>
      </c>
    </row>
    <row r="111" spans="1:2" x14ac:dyDescent="0.3">
      <c r="A111">
        <v>110</v>
      </c>
      <c r="B111" t="s">
        <v>149</v>
      </c>
    </row>
    <row r="112" spans="1:2" x14ac:dyDescent="0.3">
      <c r="A112">
        <v>111</v>
      </c>
      <c r="B112" t="s">
        <v>103</v>
      </c>
    </row>
    <row r="113" spans="1:2" x14ac:dyDescent="0.3">
      <c r="A113">
        <v>112</v>
      </c>
      <c r="B113" t="s">
        <v>242</v>
      </c>
    </row>
    <row r="114" spans="1:2" x14ac:dyDescent="0.3">
      <c r="A114">
        <v>113</v>
      </c>
      <c r="B114" t="s">
        <v>224</v>
      </c>
    </row>
    <row r="115" spans="1:2" x14ac:dyDescent="0.3">
      <c r="A115">
        <v>114</v>
      </c>
      <c r="B115" t="s">
        <v>107</v>
      </c>
    </row>
    <row r="116" spans="1:2" x14ac:dyDescent="0.3">
      <c r="A116">
        <v>115</v>
      </c>
      <c r="B116" t="s">
        <v>226</v>
      </c>
    </row>
    <row r="117" spans="1:2" x14ac:dyDescent="0.3">
      <c r="A117">
        <v>116</v>
      </c>
      <c r="B117" t="s">
        <v>147</v>
      </c>
    </row>
    <row r="118" spans="1:2" x14ac:dyDescent="0.3">
      <c r="A118">
        <v>117</v>
      </c>
      <c r="B118" t="s">
        <v>148</v>
      </c>
    </row>
    <row r="119" spans="1:2" x14ac:dyDescent="0.3">
      <c r="A119">
        <v>118</v>
      </c>
      <c r="B119" t="s">
        <v>81</v>
      </c>
    </row>
    <row r="120" spans="1:2" x14ac:dyDescent="0.3">
      <c r="A120">
        <v>119</v>
      </c>
      <c r="B120" t="s">
        <v>257</v>
      </c>
    </row>
    <row r="121" spans="1:2" x14ac:dyDescent="0.3">
      <c r="A121">
        <v>120</v>
      </c>
      <c r="B121" t="s">
        <v>95</v>
      </c>
    </row>
    <row r="122" spans="1:2" x14ac:dyDescent="0.3">
      <c r="A122">
        <v>121</v>
      </c>
      <c r="B122" t="s">
        <v>86</v>
      </c>
    </row>
    <row r="123" spans="1:2" x14ac:dyDescent="0.3">
      <c r="A123">
        <v>122</v>
      </c>
      <c r="B123" t="s">
        <v>205</v>
      </c>
    </row>
    <row r="124" spans="1:2" x14ac:dyDescent="0.3">
      <c r="A124">
        <v>123</v>
      </c>
      <c r="B124" t="s">
        <v>101</v>
      </c>
    </row>
    <row r="125" spans="1:2" x14ac:dyDescent="0.3">
      <c r="A125">
        <v>124</v>
      </c>
      <c r="B125" t="s">
        <v>130</v>
      </c>
    </row>
    <row r="126" spans="1:2" x14ac:dyDescent="0.3">
      <c r="A126">
        <v>125</v>
      </c>
      <c r="B126" t="s">
        <v>254</v>
      </c>
    </row>
    <row r="127" spans="1:2" x14ac:dyDescent="0.3">
      <c r="A127">
        <v>126</v>
      </c>
      <c r="B127" t="s">
        <v>208</v>
      </c>
    </row>
    <row r="128" spans="1:2" x14ac:dyDescent="0.3">
      <c r="A128">
        <v>127</v>
      </c>
      <c r="B128" t="s">
        <v>250</v>
      </c>
    </row>
    <row r="129" spans="1:2" x14ac:dyDescent="0.3">
      <c r="A129">
        <v>128</v>
      </c>
      <c r="B129" t="s">
        <v>89</v>
      </c>
    </row>
    <row r="130" spans="1:2" x14ac:dyDescent="0.3">
      <c r="A130">
        <v>129</v>
      </c>
      <c r="B130" t="s">
        <v>249</v>
      </c>
    </row>
    <row r="131" spans="1:2" x14ac:dyDescent="0.3">
      <c r="A131">
        <v>130</v>
      </c>
      <c r="B131" t="s">
        <v>251</v>
      </c>
    </row>
    <row r="132" spans="1:2" x14ac:dyDescent="0.3">
      <c r="A132">
        <v>131</v>
      </c>
      <c r="B132" t="s">
        <v>80</v>
      </c>
    </row>
    <row r="133" spans="1:2" x14ac:dyDescent="0.3">
      <c r="A133">
        <v>132</v>
      </c>
      <c r="B133" t="s">
        <v>228</v>
      </c>
    </row>
    <row r="134" spans="1:2" x14ac:dyDescent="0.3">
      <c r="A134">
        <v>133</v>
      </c>
      <c r="B134" t="s">
        <v>203</v>
      </c>
    </row>
    <row r="135" spans="1:2" x14ac:dyDescent="0.3">
      <c r="A135">
        <v>134</v>
      </c>
      <c r="B135" t="s">
        <v>153</v>
      </c>
    </row>
    <row r="136" spans="1:2" x14ac:dyDescent="0.3">
      <c r="A136">
        <v>135</v>
      </c>
      <c r="B136" t="s">
        <v>182</v>
      </c>
    </row>
    <row r="137" spans="1:2" x14ac:dyDescent="0.3">
      <c r="A137">
        <v>136</v>
      </c>
      <c r="B137" t="s">
        <v>177</v>
      </c>
    </row>
    <row r="138" spans="1:2" x14ac:dyDescent="0.3">
      <c r="A138">
        <v>137</v>
      </c>
      <c r="B138" t="s">
        <v>141</v>
      </c>
    </row>
    <row r="139" spans="1:2" x14ac:dyDescent="0.3">
      <c r="A139">
        <v>138</v>
      </c>
      <c r="B139" t="s">
        <v>267</v>
      </c>
    </row>
    <row r="140" spans="1:2" x14ac:dyDescent="0.3">
      <c r="A140">
        <v>139</v>
      </c>
      <c r="B140" t="s">
        <v>134</v>
      </c>
    </row>
    <row r="141" spans="1:2" x14ac:dyDescent="0.3">
      <c r="A141">
        <v>140</v>
      </c>
      <c r="B141" t="s">
        <v>229</v>
      </c>
    </row>
    <row r="142" spans="1:2" x14ac:dyDescent="0.3">
      <c r="A142">
        <v>141</v>
      </c>
      <c r="B142" t="s">
        <v>128</v>
      </c>
    </row>
    <row r="143" spans="1:2" x14ac:dyDescent="0.3">
      <c r="A143">
        <v>142</v>
      </c>
      <c r="B143" t="s">
        <v>210</v>
      </c>
    </row>
    <row r="144" spans="1:2" x14ac:dyDescent="0.3">
      <c r="A144">
        <v>143</v>
      </c>
      <c r="B144" t="s">
        <v>96</v>
      </c>
    </row>
    <row r="145" spans="1:2" x14ac:dyDescent="0.3">
      <c r="A145">
        <v>144</v>
      </c>
      <c r="B145" t="s">
        <v>204</v>
      </c>
    </row>
    <row r="146" spans="1:2" x14ac:dyDescent="0.3">
      <c r="A146">
        <v>145</v>
      </c>
      <c r="B146" t="s">
        <v>125</v>
      </c>
    </row>
    <row r="147" spans="1:2" x14ac:dyDescent="0.3">
      <c r="A147">
        <v>146</v>
      </c>
      <c r="B147" t="s">
        <v>84</v>
      </c>
    </row>
    <row r="148" spans="1:2" x14ac:dyDescent="0.3">
      <c r="A148">
        <v>147</v>
      </c>
      <c r="B148" t="s">
        <v>111</v>
      </c>
    </row>
    <row r="149" spans="1:2" x14ac:dyDescent="0.3">
      <c r="A149">
        <v>148</v>
      </c>
      <c r="B149" t="s">
        <v>104</v>
      </c>
    </row>
    <row r="150" spans="1:2" x14ac:dyDescent="0.3">
      <c r="A150">
        <v>149</v>
      </c>
      <c r="B150" t="s">
        <v>72</v>
      </c>
    </row>
    <row r="151" spans="1:2" x14ac:dyDescent="0.3">
      <c r="A151">
        <v>150</v>
      </c>
      <c r="B151" t="s">
        <v>178</v>
      </c>
    </row>
    <row r="152" spans="1:2" x14ac:dyDescent="0.3">
      <c r="A152">
        <v>151</v>
      </c>
      <c r="B152" t="s">
        <v>169</v>
      </c>
    </row>
    <row r="153" spans="1:2" x14ac:dyDescent="0.3">
      <c r="A153">
        <v>152</v>
      </c>
      <c r="B153" t="s">
        <v>172</v>
      </c>
    </row>
    <row r="154" spans="1:2" x14ac:dyDescent="0.3">
      <c r="A154">
        <v>153</v>
      </c>
      <c r="B154" t="s">
        <v>173</v>
      </c>
    </row>
    <row r="155" spans="1:2" x14ac:dyDescent="0.3">
      <c r="A155">
        <v>154</v>
      </c>
      <c r="B155" t="s">
        <v>233</v>
      </c>
    </row>
    <row r="156" spans="1:2" x14ac:dyDescent="0.3">
      <c r="A156">
        <v>155</v>
      </c>
      <c r="B156" t="s">
        <v>135</v>
      </c>
    </row>
    <row r="157" spans="1:2" x14ac:dyDescent="0.3">
      <c r="A157">
        <v>156</v>
      </c>
      <c r="B157" t="s">
        <v>234</v>
      </c>
    </row>
    <row r="158" spans="1:2" x14ac:dyDescent="0.3">
      <c r="A158">
        <v>157</v>
      </c>
      <c r="B158" t="s">
        <v>131</v>
      </c>
    </row>
    <row r="159" spans="1:2" x14ac:dyDescent="0.3">
      <c r="A159">
        <v>158</v>
      </c>
      <c r="B159" t="s">
        <v>200</v>
      </c>
    </row>
    <row r="160" spans="1:2" x14ac:dyDescent="0.3">
      <c r="A160">
        <v>159</v>
      </c>
      <c r="B160" t="s">
        <v>99</v>
      </c>
    </row>
    <row r="161" spans="1:2" x14ac:dyDescent="0.3">
      <c r="A161">
        <v>160</v>
      </c>
      <c r="B161" t="s">
        <v>243</v>
      </c>
    </row>
    <row r="162" spans="1:2" x14ac:dyDescent="0.3">
      <c r="A162">
        <v>161</v>
      </c>
      <c r="B162" t="s">
        <v>162</v>
      </c>
    </row>
    <row r="163" spans="1:2" x14ac:dyDescent="0.3">
      <c r="A163">
        <v>162</v>
      </c>
      <c r="B163" t="s">
        <v>157</v>
      </c>
    </row>
    <row r="164" spans="1:2" x14ac:dyDescent="0.3">
      <c r="A164">
        <v>163</v>
      </c>
      <c r="B164" t="s">
        <v>74</v>
      </c>
    </row>
    <row r="165" spans="1:2" x14ac:dyDescent="0.3">
      <c r="A165">
        <v>164</v>
      </c>
      <c r="B165" t="s">
        <v>181</v>
      </c>
    </row>
    <row r="166" spans="1:2" x14ac:dyDescent="0.3">
      <c r="A166">
        <v>165</v>
      </c>
      <c r="B166" t="s">
        <v>236</v>
      </c>
    </row>
    <row r="167" spans="1:2" x14ac:dyDescent="0.3">
      <c r="A167">
        <v>166</v>
      </c>
      <c r="B167" t="s">
        <v>194</v>
      </c>
    </row>
    <row r="168" spans="1:2" x14ac:dyDescent="0.3">
      <c r="A168">
        <v>167</v>
      </c>
      <c r="B168" t="s">
        <v>144</v>
      </c>
    </row>
    <row r="169" spans="1:2" x14ac:dyDescent="0.3">
      <c r="A169">
        <v>168</v>
      </c>
      <c r="B169" t="s">
        <v>240</v>
      </c>
    </row>
    <row r="170" spans="1:2" x14ac:dyDescent="0.3">
      <c r="A170">
        <v>169</v>
      </c>
      <c r="B170" t="s">
        <v>164</v>
      </c>
    </row>
    <row r="171" spans="1:2" x14ac:dyDescent="0.3">
      <c r="A171">
        <v>170</v>
      </c>
      <c r="B171" t="s">
        <v>196</v>
      </c>
    </row>
    <row r="172" spans="1:2" x14ac:dyDescent="0.3">
      <c r="A172">
        <v>171</v>
      </c>
      <c r="B172" t="s">
        <v>188</v>
      </c>
    </row>
    <row r="173" spans="1:2" x14ac:dyDescent="0.3">
      <c r="A173">
        <v>172</v>
      </c>
      <c r="B173" t="s">
        <v>118</v>
      </c>
    </row>
    <row r="174" spans="1:2" x14ac:dyDescent="0.3">
      <c r="A174">
        <v>173</v>
      </c>
      <c r="B174" t="s">
        <v>171</v>
      </c>
    </row>
    <row r="175" spans="1:2" x14ac:dyDescent="0.3">
      <c r="A175">
        <v>174</v>
      </c>
      <c r="B175" t="s">
        <v>158</v>
      </c>
    </row>
    <row r="176" spans="1:2" x14ac:dyDescent="0.3">
      <c r="A176">
        <v>175</v>
      </c>
      <c r="B176" t="s">
        <v>170</v>
      </c>
    </row>
    <row r="177" spans="1:2" x14ac:dyDescent="0.3">
      <c r="A177">
        <v>176</v>
      </c>
      <c r="B177" t="s">
        <v>256</v>
      </c>
    </row>
    <row r="178" spans="1:2" x14ac:dyDescent="0.3">
      <c r="A178">
        <v>177</v>
      </c>
      <c r="B178" t="s">
        <v>94</v>
      </c>
    </row>
    <row r="179" spans="1:2" x14ac:dyDescent="0.3">
      <c r="A179">
        <v>178</v>
      </c>
      <c r="B179" t="s">
        <v>239</v>
      </c>
    </row>
    <row r="180" spans="1:2" x14ac:dyDescent="0.3">
      <c r="A180">
        <v>179</v>
      </c>
      <c r="B180" t="s">
        <v>209</v>
      </c>
    </row>
    <row r="181" spans="1:2" x14ac:dyDescent="0.3">
      <c r="A181">
        <v>180</v>
      </c>
      <c r="B181" t="s">
        <v>213</v>
      </c>
    </row>
    <row r="182" spans="1:2" x14ac:dyDescent="0.3">
      <c r="A182">
        <v>181</v>
      </c>
      <c r="B182" t="s">
        <v>116</v>
      </c>
    </row>
    <row r="183" spans="1:2" x14ac:dyDescent="0.3">
      <c r="A183">
        <v>182</v>
      </c>
      <c r="B183" t="s">
        <v>127</v>
      </c>
    </row>
    <row r="184" spans="1:2" x14ac:dyDescent="0.3">
      <c r="A184">
        <v>183</v>
      </c>
      <c r="B184" t="s">
        <v>126</v>
      </c>
    </row>
    <row r="185" spans="1:2" x14ac:dyDescent="0.3">
      <c r="A185">
        <v>184</v>
      </c>
      <c r="B185" t="s">
        <v>138</v>
      </c>
    </row>
    <row r="186" spans="1:2" x14ac:dyDescent="0.3">
      <c r="A186">
        <v>185</v>
      </c>
      <c r="B186" t="s">
        <v>235</v>
      </c>
    </row>
    <row r="187" spans="1:2" x14ac:dyDescent="0.3">
      <c r="A187">
        <v>186</v>
      </c>
      <c r="B187" t="s">
        <v>245</v>
      </c>
    </row>
    <row r="188" spans="1:2" x14ac:dyDescent="0.3">
      <c r="A188">
        <v>187</v>
      </c>
      <c r="B188" t="s">
        <v>231</v>
      </c>
    </row>
    <row r="189" spans="1:2" x14ac:dyDescent="0.3">
      <c r="A189">
        <v>188</v>
      </c>
      <c r="B189" t="s">
        <v>98</v>
      </c>
    </row>
    <row r="190" spans="1:2" x14ac:dyDescent="0.3">
      <c r="A190">
        <v>189</v>
      </c>
      <c r="B190" t="s">
        <v>238</v>
      </c>
    </row>
    <row r="191" spans="1:2" x14ac:dyDescent="0.3">
      <c r="A191">
        <v>190</v>
      </c>
      <c r="B191" t="s">
        <v>227</v>
      </c>
    </row>
    <row r="192" spans="1:2" x14ac:dyDescent="0.3">
      <c r="A192">
        <v>191</v>
      </c>
      <c r="B192" t="s">
        <v>218</v>
      </c>
    </row>
    <row r="193" spans="1:2" x14ac:dyDescent="0.3">
      <c r="A193">
        <v>192</v>
      </c>
      <c r="B193" t="s">
        <v>253</v>
      </c>
    </row>
    <row r="194" spans="1:2" x14ac:dyDescent="0.3">
      <c r="A194">
        <v>193</v>
      </c>
      <c r="B194" t="s">
        <v>160</v>
      </c>
    </row>
    <row r="195" spans="1:2" x14ac:dyDescent="0.3">
      <c r="A195">
        <v>194</v>
      </c>
      <c r="B195" t="s">
        <v>246</v>
      </c>
    </row>
    <row r="196" spans="1:2" x14ac:dyDescent="0.3">
      <c r="A196">
        <v>195</v>
      </c>
      <c r="B196" t="s">
        <v>198</v>
      </c>
    </row>
    <row r="197" spans="1:2" x14ac:dyDescent="0.3">
      <c r="A197">
        <v>196</v>
      </c>
      <c r="B197" t="s">
        <v>248</v>
      </c>
    </row>
    <row r="198" spans="1:2" x14ac:dyDescent="0.3">
      <c r="A198">
        <v>197</v>
      </c>
      <c r="B198" t="s">
        <v>179</v>
      </c>
    </row>
    <row r="199" spans="1:2" x14ac:dyDescent="0.3">
      <c r="A199">
        <v>198</v>
      </c>
      <c r="B199" t="s">
        <v>159</v>
      </c>
    </row>
    <row r="200" spans="1:2" x14ac:dyDescent="0.3">
      <c r="A200">
        <v>199</v>
      </c>
      <c r="B200" t="s">
        <v>124</v>
      </c>
    </row>
    <row r="201" spans="1:2" x14ac:dyDescent="0.3">
      <c r="A201">
        <v>200</v>
      </c>
      <c r="B201" t="s">
        <v>217</v>
      </c>
    </row>
    <row r="202" spans="1:2" x14ac:dyDescent="0.3">
      <c r="A202">
        <v>201</v>
      </c>
      <c r="B202" t="s">
        <v>77</v>
      </c>
    </row>
    <row r="203" spans="1:2" x14ac:dyDescent="0.3">
      <c r="A203">
        <v>202</v>
      </c>
      <c r="B203" t="s">
        <v>176</v>
      </c>
    </row>
    <row r="204" spans="1:2" x14ac:dyDescent="0.3">
      <c r="A204">
        <v>203</v>
      </c>
      <c r="B204" t="s">
        <v>206</v>
      </c>
    </row>
    <row r="205" spans="1:2" x14ac:dyDescent="0.3">
      <c r="A205">
        <v>204</v>
      </c>
      <c r="B205" t="s">
        <v>186</v>
      </c>
    </row>
    <row r="206" spans="1:2" x14ac:dyDescent="0.3">
      <c r="A206">
        <v>205</v>
      </c>
      <c r="B206" t="s">
        <v>266</v>
      </c>
    </row>
    <row r="207" spans="1:2" x14ac:dyDescent="0.3">
      <c r="A207">
        <v>206</v>
      </c>
      <c r="B207" t="s">
        <v>175</v>
      </c>
    </row>
    <row r="208" spans="1:2" x14ac:dyDescent="0.3">
      <c r="A208">
        <v>207</v>
      </c>
      <c r="B208" t="s">
        <v>202</v>
      </c>
    </row>
    <row r="209" spans="1:2" x14ac:dyDescent="0.3">
      <c r="A209">
        <v>208</v>
      </c>
      <c r="B209" t="s">
        <v>259</v>
      </c>
    </row>
    <row r="210" spans="1:2" x14ac:dyDescent="0.3">
      <c r="A210">
        <v>209</v>
      </c>
      <c r="B210" t="s">
        <v>220</v>
      </c>
    </row>
    <row r="211" spans="1:2" x14ac:dyDescent="0.3">
      <c r="A211">
        <v>210</v>
      </c>
      <c r="B211" t="s">
        <v>166</v>
      </c>
    </row>
    <row r="212" spans="1:2" x14ac:dyDescent="0.3">
      <c r="A212">
        <v>211</v>
      </c>
      <c r="B212" t="s">
        <v>255</v>
      </c>
    </row>
    <row r="213" spans="1:2" x14ac:dyDescent="0.3">
      <c r="A213">
        <v>212</v>
      </c>
      <c r="B213" t="s">
        <v>252</v>
      </c>
    </row>
    <row r="214" spans="1:2" x14ac:dyDescent="0.3">
      <c r="A214">
        <v>213</v>
      </c>
      <c r="B214" t="s">
        <v>190</v>
      </c>
    </row>
    <row r="215" spans="1:2" x14ac:dyDescent="0.3">
      <c r="A215">
        <v>214</v>
      </c>
      <c r="B215" t="s">
        <v>165</v>
      </c>
    </row>
    <row r="216" spans="1:2" x14ac:dyDescent="0.3">
      <c r="A216">
        <v>215</v>
      </c>
      <c r="B216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0702-16F6-41A2-A6EA-56906CBD09BE}">
  <dimension ref="A1:B3"/>
  <sheetViews>
    <sheetView workbookViewId="0">
      <selection sqref="A1:B1"/>
    </sheetView>
  </sheetViews>
  <sheetFormatPr defaultRowHeight="14.4" x14ac:dyDescent="0.3"/>
  <cols>
    <col min="1" max="1" width="9.88671875" bestFit="1" customWidth="1"/>
    <col min="2" max="2" width="14.88671875" bestFit="1" customWidth="1"/>
  </cols>
  <sheetData>
    <row r="1" spans="1:2" x14ac:dyDescent="0.3">
      <c r="A1" s="2" t="s">
        <v>345</v>
      </c>
      <c r="B1" s="2" t="s">
        <v>275</v>
      </c>
    </row>
    <row r="2" spans="1:2" x14ac:dyDescent="0.3">
      <c r="A2">
        <v>1</v>
      </c>
      <c r="B2" t="s">
        <v>284</v>
      </c>
    </row>
    <row r="3" spans="1:2" x14ac:dyDescent="0.3">
      <c r="A3">
        <v>2</v>
      </c>
      <c r="B3" t="s">
        <v>283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346A-C1EC-457E-8630-F9A596ACC9B5}">
  <dimension ref="A1:B6"/>
  <sheetViews>
    <sheetView workbookViewId="0">
      <selection sqref="A1:B1"/>
    </sheetView>
  </sheetViews>
  <sheetFormatPr defaultRowHeight="14.4" x14ac:dyDescent="0.3"/>
  <cols>
    <col min="1" max="1" width="18.109375" bestFit="1" customWidth="1"/>
    <col min="2" max="2" width="15.21875" bestFit="1" customWidth="1"/>
  </cols>
  <sheetData>
    <row r="1" spans="1:2" x14ac:dyDescent="0.3">
      <c r="A1" s="2" t="s">
        <v>346</v>
      </c>
      <c r="B1" s="2" t="s">
        <v>273</v>
      </c>
    </row>
    <row r="2" spans="1:2" x14ac:dyDescent="0.3">
      <c r="A2">
        <v>1</v>
      </c>
      <c r="B2" s="1" t="s">
        <v>285</v>
      </c>
    </row>
    <row r="3" spans="1:2" x14ac:dyDescent="0.3">
      <c r="A3">
        <v>2</v>
      </c>
      <c r="B3" s="1" t="s">
        <v>286</v>
      </c>
    </row>
    <row r="4" spans="1:2" x14ac:dyDescent="0.3">
      <c r="A4">
        <v>3</v>
      </c>
      <c r="B4" s="1" t="s">
        <v>287</v>
      </c>
    </row>
    <row r="5" spans="1:2" x14ac:dyDescent="0.3">
      <c r="A5">
        <v>4</v>
      </c>
      <c r="B5" s="1" t="s">
        <v>288</v>
      </c>
    </row>
    <row r="6" spans="1:2" x14ac:dyDescent="0.3">
      <c r="A6">
        <v>5</v>
      </c>
      <c r="B6" s="1" t="s">
        <v>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9A60-89ED-48D7-9A5D-4A271D400AD1}">
  <dimension ref="A1:B17"/>
  <sheetViews>
    <sheetView workbookViewId="0">
      <selection sqref="A1:B1"/>
    </sheetView>
  </sheetViews>
  <sheetFormatPr defaultRowHeight="14.4" x14ac:dyDescent="0.3"/>
  <cols>
    <col min="1" max="1" width="9.6640625" bestFit="1" customWidth="1"/>
    <col min="2" max="2" width="15.21875" bestFit="1" customWidth="1"/>
  </cols>
  <sheetData>
    <row r="1" spans="1:2" x14ac:dyDescent="0.3">
      <c r="A1" s="2" t="s">
        <v>348</v>
      </c>
      <c r="B1" s="2" t="s">
        <v>279</v>
      </c>
    </row>
    <row r="2" spans="1:2" x14ac:dyDescent="0.3">
      <c r="A2">
        <v>1</v>
      </c>
      <c r="B2" s="1" t="s">
        <v>293</v>
      </c>
    </row>
    <row r="3" spans="1:2" x14ac:dyDescent="0.3">
      <c r="A3">
        <v>2</v>
      </c>
      <c r="B3" s="1" t="s">
        <v>300</v>
      </c>
    </row>
    <row r="4" spans="1:2" x14ac:dyDescent="0.3">
      <c r="A4">
        <v>3</v>
      </c>
      <c r="B4" s="1" t="s">
        <v>291</v>
      </c>
    </row>
    <row r="5" spans="1:2" x14ac:dyDescent="0.3">
      <c r="A5">
        <v>4</v>
      </c>
      <c r="B5" s="1" t="s">
        <v>304</v>
      </c>
    </row>
    <row r="6" spans="1:2" x14ac:dyDescent="0.3">
      <c r="A6">
        <v>5</v>
      </c>
      <c r="B6" s="1" t="s">
        <v>295</v>
      </c>
    </row>
    <row r="7" spans="1:2" x14ac:dyDescent="0.3">
      <c r="A7">
        <v>6</v>
      </c>
      <c r="B7" s="1" t="s">
        <v>297</v>
      </c>
    </row>
    <row r="8" spans="1:2" x14ac:dyDescent="0.3">
      <c r="A8">
        <v>7</v>
      </c>
      <c r="B8" s="1" t="s">
        <v>292</v>
      </c>
    </row>
    <row r="9" spans="1:2" x14ac:dyDescent="0.3">
      <c r="A9">
        <v>8</v>
      </c>
      <c r="B9" s="1" t="s">
        <v>296</v>
      </c>
    </row>
    <row r="10" spans="1:2" x14ac:dyDescent="0.3">
      <c r="A10">
        <v>9</v>
      </c>
      <c r="B10" s="1" t="s">
        <v>301</v>
      </c>
    </row>
    <row r="11" spans="1:2" x14ac:dyDescent="0.3">
      <c r="A11">
        <v>10</v>
      </c>
      <c r="B11" s="1" t="s">
        <v>299</v>
      </c>
    </row>
    <row r="12" spans="1:2" x14ac:dyDescent="0.3">
      <c r="A12">
        <v>11</v>
      </c>
      <c r="B12" s="1" t="s">
        <v>305</v>
      </c>
    </row>
    <row r="13" spans="1:2" x14ac:dyDescent="0.3">
      <c r="A13">
        <v>12</v>
      </c>
      <c r="B13" s="1" t="s">
        <v>290</v>
      </c>
    </row>
    <row r="14" spans="1:2" x14ac:dyDescent="0.3">
      <c r="A14">
        <v>13</v>
      </c>
      <c r="B14" s="1" t="s">
        <v>303</v>
      </c>
    </row>
    <row r="15" spans="1:2" x14ac:dyDescent="0.3">
      <c r="A15">
        <v>14</v>
      </c>
      <c r="B15" s="1" t="s">
        <v>294</v>
      </c>
    </row>
    <row r="16" spans="1:2" x14ac:dyDescent="0.3">
      <c r="A16">
        <v>15</v>
      </c>
      <c r="B16" s="1" t="s">
        <v>298</v>
      </c>
    </row>
    <row r="17" spans="1:2" x14ac:dyDescent="0.3">
      <c r="A17">
        <v>16</v>
      </c>
      <c r="B17" s="1" t="s">
        <v>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7CE8E-0871-42ED-8E64-F9A3AD977473}">
  <dimension ref="A1:B3"/>
  <sheetViews>
    <sheetView workbookViewId="0">
      <selection sqref="A1:B1"/>
    </sheetView>
  </sheetViews>
  <sheetFormatPr defaultRowHeight="14.4" x14ac:dyDescent="0.3"/>
  <sheetData>
    <row r="1" spans="1:2" x14ac:dyDescent="0.3">
      <c r="A1" s="2" t="s">
        <v>349</v>
      </c>
      <c r="B1" s="2" t="s">
        <v>0</v>
      </c>
    </row>
    <row r="2" spans="1:2" x14ac:dyDescent="0.3">
      <c r="A2">
        <v>1</v>
      </c>
      <c r="B2" s="1" t="s">
        <v>2</v>
      </c>
    </row>
    <row r="3" spans="1:2" x14ac:dyDescent="0.3">
      <c r="A3">
        <v>2</v>
      </c>
      <c r="B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FFD-E5B6-4EC4-8CB4-75233953B621}">
  <dimension ref="A1:B6"/>
  <sheetViews>
    <sheetView workbookViewId="0">
      <selection sqref="A1:B1"/>
    </sheetView>
  </sheetViews>
  <sheetFormatPr defaultRowHeight="14.4" x14ac:dyDescent="0.3"/>
  <cols>
    <col min="1" max="1" width="21.44140625" bestFit="1" customWidth="1"/>
  </cols>
  <sheetData>
    <row r="1" spans="1:2" x14ac:dyDescent="0.3">
      <c r="A1" s="2" t="s">
        <v>351</v>
      </c>
      <c r="B1" s="2" t="s">
        <v>306</v>
      </c>
    </row>
    <row r="2" spans="1:2" x14ac:dyDescent="0.3">
      <c r="A2">
        <v>1</v>
      </c>
      <c r="B2" s="1" t="s">
        <v>52</v>
      </c>
    </row>
    <row r="3" spans="1:2" x14ac:dyDescent="0.3">
      <c r="A3">
        <v>2</v>
      </c>
      <c r="B3" s="1" t="s">
        <v>49</v>
      </c>
    </row>
    <row r="4" spans="1:2" x14ac:dyDescent="0.3">
      <c r="A4">
        <v>3</v>
      </c>
      <c r="B4" s="1" t="s">
        <v>58</v>
      </c>
    </row>
    <row r="5" spans="1:2" x14ac:dyDescent="0.3">
      <c r="A5">
        <v>4</v>
      </c>
      <c r="B5" s="1" t="s">
        <v>55</v>
      </c>
    </row>
    <row r="6" spans="1:2" x14ac:dyDescent="0.3">
      <c r="A6">
        <v>5</v>
      </c>
      <c r="B6" s="1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E09E-C386-4F2A-8931-FB284B33BAE3}">
  <dimension ref="A1:B10"/>
  <sheetViews>
    <sheetView workbookViewId="0">
      <selection sqref="A1:B1"/>
    </sheetView>
  </sheetViews>
  <sheetFormatPr defaultRowHeight="14.4" x14ac:dyDescent="0.3"/>
  <sheetData>
    <row r="1" spans="1:2" x14ac:dyDescent="0.3">
      <c r="A1" s="2" t="s">
        <v>354</v>
      </c>
      <c r="B1" s="2" t="s">
        <v>270</v>
      </c>
    </row>
    <row r="2" spans="1:2" x14ac:dyDescent="0.3">
      <c r="A2">
        <v>1</v>
      </c>
      <c r="B2" s="1" t="s">
        <v>66</v>
      </c>
    </row>
    <row r="3" spans="1:2" x14ac:dyDescent="0.3">
      <c r="A3">
        <v>2</v>
      </c>
      <c r="B3" s="1" t="s">
        <v>65</v>
      </c>
    </row>
    <row r="4" spans="1:2" x14ac:dyDescent="0.3">
      <c r="A4">
        <v>3</v>
      </c>
      <c r="B4" s="1" t="s">
        <v>63</v>
      </c>
    </row>
    <row r="5" spans="1:2" x14ac:dyDescent="0.3">
      <c r="A5">
        <v>4</v>
      </c>
      <c r="B5" s="1" t="s">
        <v>272</v>
      </c>
    </row>
    <row r="6" spans="1:2" x14ac:dyDescent="0.3">
      <c r="A6">
        <v>5</v>
      </c>
      <c r="B6" s="1" t="s">
        <v>69</v>
      </c>
    </row>
    <row r="7" spans="1:2" x14ac:dyDescent="0.3">
      <c r="A7">
        <v>6</v>
      </c>
      <c r="B7" s="1" t="s">
        <v>68</v>
      </c>
    </row>
    <row r="8" spans="1:2" x14ac:dyDescent="0.3">
      <c r="A8">
        <v>7</v>
      </c>
      <c r="B8" s="1" t="s">
        <v>271</v>
      </c>
    </row>
    <row r="9" spans="1:2" x14ac:dyDescent="0.3">
      <c r="A9">
        <v>8</v>
      </c>
      <c r="B9" s="1" t="s">
        <v>67</v>
      </c>
    </row>
    <row r="10" spans="1:2" x14ac:dyDescent="0.3">
      <c r="A10">
        <v>9</v>
      </c>
      <c r="B10" s="1" t="s">
        <v>315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2540-5033-4FAC-AC5F-3187D31BE867}">
  <dimension ref="A1:B6"/>
  <sheetViews>
    <sheetView workbookViewId="0">
      <selection activeCell="H24" sqref="H24"/>
    </sheetView>
  </sheetViews>
  <sheetFormatPr defaultRowHeight="14.4" x14ac:dyDescent="0.3"/>
  <cols>
    <col min="1" max="1" width="15.109375" bestFit="1" customWidth="1"/>
    <col min="2" max="2" width="39.33203125" bestFit="1" customWidth="1"/>
  </cols>
  <sheetData>
    <row r="1" spans="1:2" x14ac:dyDescent="0.3">
      <c r="A1" s="2" t="s">
        <v>352</v>
      </c>
      <c r="B1" s="2" t="s">
        <v>307</v>
      </c>
    </row>
    <row r="2" spans="1:2" x14ac:dyDescent="0.3">
      <c r="A2">
        <v>1</v>
      </c>
      <c r="B2" s="1" t="s">
        <v>53</v>
      </c>
    </row>
    <row r="3" spans="1:2" x14ac:dyDescent="0.3">
      <c r="A3">
        <v>2</v>
      </c>
      <c r="B3" s="1" t="s">
        <v>50</v>
      </c>
    </row>
    <row r="4" spans="1:2" x14ac:dyDescent="0.3">
      <c r="A4">
        <v>3</v>
      </c>
      <c r="B4" s="1" t="s">
        <v>59</v>
      </c>
    </row>
    <row r="5" spans="1:2" x14ac:dyDescent="0.3">
      <c r="A5">
        <v>4</v>
      </c>
      <c r="B5" s="1" t="s">
        <v>56</v>
      </c>
    </row>
    <row r="6" spans="1:2" x14ac:dyDescent="0.3">
      <c r="A6">
        <v>5</v>
      </c>
      <c r="B6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Output</vt:lpstr>
      <vt:lpstr>Sheet1</vt:lpstr>
      <vt:lpstr>Hierarchy_Dim</vt:lpstr>
      <vt:lpstr>Student_level_Hierarchy</vt:lpstr>
      <vt:lpstr>Date_Dim</vt:lpstr>
      <vt:lpstr>Student_Dim</vt:lpstr>
      <vt:lpstr>Gender_Dim</vt:lpstr>
      <vt:lpstr>Course_Duration_Dim</vt:lpstr>
      <vt:lpstr>Trainer_Dim</vt:lpstr>
      <vt:lpstr>Status_Dim</vt:lpstr>
      <vt:lpstr>Teaching_Description_Dim</vt:lpstr>
      <vt:lpstr>Team_Lead_Dim</vt:lpstr>
      <vt:lpstr>Key_Features_Training_Dim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KASFUR DHUNIYAN</dc:creator>
  <cp:lastModifiedBy>pranav verma</cp:lastModifiedBy>
  <dcterms:created xsi:type="dcterms:W3CDTF">2024-12-25T09:56:28Z</dcterms:created>
  <dcterms:modified xsi:type="dcterms:W3CDTF">2025-07-18T15:01:08Z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